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Doctorado Universidad Nacional de Piura\21_Tesis V y VI\"/>
    </mc:Choice>
  </mc:AlternateContent>
  <xr:revisionPtr revIDLastSave="0" documentId="8_{791DD843-0AC1-4C95-B853-5DB13972B488}" xr6:coauthVersionLast="47" xr6:coauthVersionMax="47" xr10:uidLastSave="{00000000-0000-0000-0000-000000000000}"/>
  <bookViews>
    <workbookView xWindow="-120" yWindow="-120" windowWidth="29040" windowHeight="15840" xr2:uid="{1FC794FF-59F3-4082-9AB6-0B38BEB23E06}"/>
  </bookViews>
  <sheets>
    <sheet name="Datos" sheetId="2" r:id="rId1"/>
    <sheet name="Fountai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N38" i="2" l="1"/>
  <c r="HN3" i="2"/>
  <c r="HN4" i="2"/>
  <c r="HN5" i="2"/>
  <c r="HN6" i="2"/>
  <c r="HN7" i="2"/>
  <c r="HN8" i="2"/>
  <c r="HN9" i="2"/>
  <c r="HN10" i="2"/>
  <c r="HN11" i="2"/>
  <c r="HN12" i="2"/>
  <c r="HN13" i="2"/>
  <c r="HN14" i="2"/>
  <c r="HN15" i="2"/>
  <c r="HN16" i="2"/>
  <c r="HN17" i="2"/>
  <c r="HN18" i="2"/>
  <c r="HN19" i="2"/>
  <c r="HN20" i="2"/>
  <c r="HN21" i="2"/>
  <c r="HN22" i="2"/>
  <c r="HN23" i="2"/>
  <c r="HN24" i="2"/>
  <c r="HN25" i="2"/>
  <c r="HN26" i="2"/>
  <c r="HN27" i="2"/>
  <c r="HN28" i="2"/>
  <c r="HN29" i="2"/>
  <c r="HN30" i="2"/>
  <c r="HN31" i="2"/>
  <c r="HN32" i="2"/>
  <c r="HN33" i="2"/>
  <c r="HN34" i="2"/>
  <c r="HN35" i="2"/>
  <c r="HN36" i="2"/>
  <c r="HN37" i="2"/>
  <c r="HN39" i="2"/>
  <c r="HN40" i="2"/>
  <c r="HN41" i="2"/>
  <c r="HN42" i="2"/>
  <c r="HN43" i="2"/>
  <c r="HN44" i="2"/>
  <c r="HN45" i="2"/>
  <c r="HN46" i="2"/>
  <c r="HN47" i="2"/>
  <c r="HN48" i="2"/>
  <c r="HN49" i="2"/>
  <c r="HN50" i="2"/>
  <c r="HN51" i="2"/>
  <c r="HN52" i="2"/>
  <c r="HN53" i="2"/>
  <c r="HN54" i="2"/>
  <c r="HN55" i="2"/>
  <c r="HN56" i="2"/>
  <c r="HN57" i="2"/>
  <c r="HN58" i="2"/>
  <c r="HN59" i="2"/>
  <c r="HN60" i="2"/>
  <c r="HN61" i="2"/>
  <c r="HN62" i="2"/>
  <c r="HN63" i="2"/>
  <c r="HN64" i="2"/>
  <c r="HN65" i="2"/>
  <c r="HN66" i="2"/>
  <c r="HN67" i="2"/>
  <c r="HN68" i="2"/>
  <c r="HN69" i="2"/>
  <c r="HN70" i="2"/>
  <c r="HN71" i="2"/>
  <c r="HN72" i="2"/>
  <c r="HN73" i="2"/>
  <c r="HN74" i="2"/>
  <c r="HN75" i="2"/>
  <c r="HN76" i="2"/>
  <c r="HN77" i="2"/>
  <c r="HN78" i="2"/>
  <c r="HN79" i="2"/>
  <c r="HN80" i="2"/>
  <c r="HN81" i="2"/>
  <c r="HN82" i="2"/>
  <c r="HN83" i="2"/>
  <c r="HN84" i="2"/>
  <c r="HN85" i="2"/>
  <c r="HN86" i="2"/>
  <c r="HN87" i="2"/>
  <c r="HN88" i="2"/>
  <c r="HN89" i="2"/>
  <c r="HN90" i="2"/>
  <c r="HN91" i="2"/>
  <c r="HN92" i="2"/>
  <c r="HN93" i="2"/>
  <c r="HN94" i="2"/>
  <c r="HN95" i="2"/>
  <c r="HN96" i="2"/>
  <c r="HN97" i="2"/>
  <c r="HN98" i="2"/>
  <c r="HN99" i="2"/>
  <c r="HN100" i="2"/>
  <c r="HN101" i="2"/>
  <c r="HN102" i="2"/>
  <c r="HN103" i="2"/>
  <c r="HN104" i="2"/>
  <c r="HN105" i="2"/>
  <c r="HN106" i="2"/>
  <c r="HN107" i="2"/>
  <c r="HN108" i="2"/>
  <c r="HN109" i="2"/>
  <c r="HN110" i="2"/>
  <c r="HN111" i="2"/>
  <c r="HN112" i="2"/>
  <c r="HN113" i="2"/>
  <c r="HN114" i="2"/>
  <c r="HN115" i="2"/>
  <c r="HN116" i="2"/>
  <c r="HN117" i="2"/>
  <c r="HN118" i="2"/>
  <c r="HN119" i="2"/>
  <c r="HN120" i="2"/>
  <c r="HN121" i="2"/>
  <c r="HN122" i="2"/>
  <c r="HN123" i="2"/>
  <c r="HN124" i="2"/>
  <c r="HN125" i="2"/>
  <c r="HN126" i="2"/>
  <c r="HN127" i="2"/>
  <c r="HN128" i="2"/>
  <c r="HN129" i="2"/>
  <c r="HN130" i="2"/>
  <c r="HN131" i="2"/>
  <c r="HN132" i="2"/>
  <c r="HN133" i="2"/>
  <c r="HN134" i="2"/>
  <c r="HN135" i="2"/>
  <c r="HN136" i="2"/>
  <c r="HN137" i="2"/>
  <c r="HN138" i="2"/>
  <c r="HN139" i="2"/>
  <c r="HN140" i="2"/>
  <c r="HN141" i="2"/>
  <c r="HN142" i="2"/>
  <c r="HN143" i="2"/>
  <c r="HN144" i="2"/>
  <c r="HN145" i="2"/>
  <c r="HN146" i="2"/>
  <c r="HN147" i="2"/>
  <c r="HN148" i="2"/>
  <c r="HN149" i="2"/>
  <c r="HN150" i="2"/>
  <c r="HN151" i="2"/>
  <c r="HN152" i="2"/>
  <c r="HN153" i="2"/>
  <c r="HN2" i="2"/>
  <c r="HF3" i="2"/>
  <c r="HF4" i="2"/>
  <c r="HF5" i="2"/>
  <c r="HF6" i="2"/>
  <c r="HF7" i="2"/>
  <c r="HF8" i="2"/>
  <c r="HF9" i="2"/>
  <c r="HF10" i="2"/>
  <c r="HF11" i="2"/>
  <c r="HF12" i="2"/>
  <c r="HF13" i="2"/>
  <c r="HF14" i="2"/>
  <c r="HF15" i="2"/>
  <c r="HF16" i="2"/>
  <c r="HF17" i="2"/>
  <c r="HF18" i="2"/>
  <c r="HF19" i="2"/>
  <c r="HF20" i="2"/>
  <c r="HF21" i="2"/>
  <c r="HF22" i="2"/>
  <c r="HF23" i="2"/>
  <c r="HF24" i="2"/>
  <c r="HF25" i="2"/>
  <c r="HF26" i="2"/>
  <c r="HF27" i="2"/>
  <c r="HF28" i="2"/>
  <c r="HF29" i="2"/>
  <c r="HF30" i="2"/>
  <c r="HF31" i="2"/>
  <c r="HF32" i="2"/>
  <c r="HF33" i="2"/>
  <c r="HF34" i="2"/>
  <c r="HF35" i="2"/>
  <c r="HF36" i="2"/>
  <c r="HF37" i="2"/>
  <c r="HF38" i="2"/>
  <c r="HF39" i="2"/>
  <c r="HF40" i="2"/>
  <c r="HF41" i="2"/>
  <c r="HF42" i="2"/>
  <c r="HF43" i="2"/>
  <c r="HF44" i="2"/>
  <c r="HF45" i="2"/>
  <c r="HF46" i="2"/>
  <c r="HF47" i="2"/>
  <c r="HF48" i="2"/>
  <c r="HF49" i="2"/>
  <c r="HF50" i="2"/>
  <c r="HF51" i="2"/>
  <c r="HF52" i="2"/>
  <c r="HF53" i="2"/>
  <c r="HF54" i="2"/>
  <c r="HF55" i="2"/>
  <c r="HF56" i="2"/>
  <c r="HF57" i="2"/>
  <c r="HF58" i="2"/>
  <c r="HF59" i="2"/>
  <c r="HF60" i="2"/>
  <c r="HF61" i="2"/>
  <c r="HF62" i="2"/>
  <c r="HF63" i="2"/>
  <c r="HF64" i="2"/>
  <c r="HF65" i="2"/>
  <c r="HF66" i="2"/>
  <c r="HF67" i="2"/>
  <c r="HF68" i="2"/>
  <c r="HF69" i="2"/>
  <c r="HF70" i="2"/>
  <c r="HF71" i="2"/>
  <c r="HF72" i="2"/>
  <c r="HF73" i="2"/>
  <c r="HF74" i="2"/>
  <c r="HF75" i="2"/>
  <c r="HF76" i="2"/>
  <c r="HF77" i="2"/>
  <c r="HF78" i="2"/>
  <c r="HF79" i="2"/>
  <c r="HF80" i="2"/>
  <c r="HF81" i="2"/>
  <c r="HF82" i="2"/>
  <c r="HF83" i="2"/>
  <c r="HF84" i="2"/>
  <c r="HF85" i="2"/>
  <c r="HF86" i="2"/>
  <c r="HF87" i="2"/>
  <c r="HF88" i="2"/>
  <c r="HF89" i="2"/>
  <c r="HF90" i="2"/>
  <c r="HF91" i="2"/>
  <c r="HF92" i="2"/>
  <c r="HF93" i="2"/>
  <c r="HF94" i="2"/>
  <c r="HF95" i="2"/>
  <c r="HF96" i="2"/>
  <c r="HF97" i="2"/>
  <c r="HF98" i="2"/>
  <c r="HF99" i="2"/>
  <c r="HF100" i="2"/>
  <c r="HF101" i="2"/>
  <c r="HF102" i="2"/>
  <c r="HF103" i="2"/>
  <c r="HF104" i="2"/>
  <c r="HF105" i="2"/>
  <c r="HF106" i="2"/>
  <c r="HF107" i="2"/>
  <c r="HF108" i="2"/>
  <c r="HF109" i="2"/>
  <c r="HF110" i="2"/>
  <c r="HF111" i="2"/>
  <c r="HF112" i="2"/>
  <c r="HF113" i="2"/>
  <c r="HF114" i="2"/>
  <c r="HF115" i="2"/>
  <c r="HF116" i="2"/>
  <c r="HF117" i="2"/>
  <c r="HF118" i="2"/>
  <c r="HF119" i="2"/>
  <c r="HF120" i="2"/>
  <c r="HF121" i="2"/>
  <c r="HF122" i="2"/>
  <c r="HF123" i="2"/>
  <c r="HF124" i="2"/>
  <c r="HF125" i="2"/>
  <c r="HF126" i="2"/>
  <c r="HF127" i="2"/>
  <c r="HF128" i="2"/>
  <c r="HF129" i="2"/>
  <c r="HF130" i="2"/>
  <c r="HF131" i="2"/>
  <c r="HF132" i="2"/>
  <c r="HF133" i="2"/>
  <c r="HF134" i="2"/>
  <c r="HF135" i="2"/>
  <c r="HF136" i="2"/>
  <c r="HF137" i="2"/>
  <c r="HF138" i="2"/>
  <c r="HF139" i="2"/>
  <c r="HF140" i="2"/>
  <c r="HF141" i="2"/>
  <c r="HF142" i="2"/>
  <c r="HF143" i="2"/>
  <c r="HF144" i="2"/>
  <c r="HF145" i="2"/>
  <c r="HF146" i="2"/>
  <c r="HF147" i="2"/>
  <c r="HF148" i="2"/>
  <c r="HF149" i="2"/>
  <c r="HF150" i="2"/>
  <c r="HF151" i="2"/>
  <c r="HF152" i="2"/>
  <c r="HF153" i="2"/>
  <c r="HF2" i="2"/>
  <c r="HV3" i="2"/>
  <c r="HV4" i="2"/>
  <c r="HV5" i="2"/>
  <c r="HV6" i="2"/>
  <c r="HV7" i="2"/>
  <c r="HV8" i="2"/>
  <c r="HV9" i="2"/>
  <c r="HV10" i="2"/>
  <c r="HV11" i="2"/>
  <c r="HV12" i="2"/>
  <c r="HV13" i="2"/>
  <c r="HV14" i="2"/>
  <c r="HV15" i="2"/>
  <c r="HV16" i="2"/>
  <c r="HV17" i="2"/>
  <c r="HV18" i="2"/>
  <c r="HV19" i="2"/>
  <c r="HV20" i="2"/>
  <c r="HV21" i="2"/>
  <c r="HV22" i="2"/>
  <c r="HV23" i="2"/>
  <c r="HV24" i="2"/>
  <c r="HV25" i="2"/>
  <c r="HV26" i="2"/>
  <c r="HV27" i="2"/>
  <c r="HV28" i="2"/>
  <c r="HV29" i="2"/>
  <c r="HV30" i="2"/>
  <c r="HV31" i="2"/>
  <c r="HV32" i="2"/>
  <c r="HV33" i="2"/>
  <c r="HV34" i="2"/>
  <c r="HV35" i="2"/>
  <c r="HV36" i="2"/>
  <c r="HV37" i="2"/>
  <c r="HV38" i="2"/>
  <c r="HV39" i="2"/>
  <c r="HV40" i="2"/>
  <c r="HV41" i="2"/>
  <c r="HV42" i="2"/>
  <c r="HV43" i="2"/>
  <c r="HV44" i="2"/>
  <c r="HV45" i="2"/>
  <c r="HV46" i="2"/>
  <c r="HV47" i="2"/>
  <c r="HV48" i="2"/>
  <c r="HV49" i="2"/>
  <c r="HV50" i="2"/>
  <c r="HV51" i="2"/>
  <c r="HV52" i="2"/>
  <c r="HV53" i="2"/>
  <c r="HV54" i="2"/>
  <c r="HV55" i="2"/>
  <c r="HV56" i="2"/>
  <c r="HV57" i="2"/>
  <c r="HV58" i="2"/>
  <c r="HV59" i="2"/>
  <c r="HV60" i="2"/>
  <c r="HV61" i="2"/>
  <c r="HV62" i="2"/>
  <c r="HV63" i="2"/>
  <c r="HV64" i="2"/>
  <c r="HV65" i="2"/>
  <c r="HV66" i="2"/>
  <c r="HV67" i="2"/>
  <c r="HV68" i="2"/>
  <c r="HV69" i="2"/>
  <c r="HV70" i="2"/>
  <c r="HV71" i="2"/>
  <c r="HV72" i="2"/>
  <c r="HV73" i="2"/>
  <c r="HV74" i="2"/>
  <c r="HV75" i="2"/>
  <c r="HV76" i="2"/>
  <c r="HV77" i="2"/>
  <c r="HV78" i="2"/>
  <c r="HV79" i="2"/>
  <c r="HV80" i="2"/>
  <c r="HV81" i="2"/>
  <c r="HV82" i="2"/>
  <c r="HV83" i="2"/>
  <c r="HV84" i="2"/>
  <c r="HV85" i="2"/>
  <c r="HV86" i="2"/>
  <c r="HV87" i="2"/>
  <c r="HV88" i="2"/>
  <c r="HV89" i="2"/>
  <c r="HV90" i="2"/>
  <c r="HV91" i="2"/>
  <c r="HV92" i="2"/>
  <c r="HV93" i="2"/>
  <c r="HV94" i="2"/>
  <c r="HV95" i="2"/>
  <c r="HV96" i="2"/>
  <c r="HV97" i="2"/>
  <c r="HV98" i="2"/>
  <c r="HV99" i="2"/>
  <c r="HV100" i="2"/>
  <c r="HV101" i="2"/>
  <c r="HV102" i="2"/>
  <c r="HV103" i="2"/>
  <c r="HV104" i="2"/>
  <c r="HV105" i="2"/>
  <c r="HV106" i="2"/>
  <c r="HV107" i="2"/>
  <c r="HV108" i="2"/>
  <c r="HV109" i="2"/>
  <c r="HV110" i="2"/>
  <c r="HV111" i="2"/>
  <c r="HV112" i="2"/>
  <c r="HV113" i="2"/>
  <c r="HV114" i="2"/>
  <c r="HV115" i="2"/>
  <c r="HV116" i="2"/>
  <c r="HV117" i="2"/>
  <c r="HV118" i="2"/>
  <c r="HV119" i="2"/>
  <c r="HV120" i="2"/>
  <c r="HV121" i="2"/>
  <c r="HV122" i="2"/>
  <c r="HV123" i="2"/>
  <c r="HV124" i="2"/>
  <c r="HV125" i="2"/>
  <c r="HV126" i="2"/>
  <c r="HV127" i="2"/>
  <c r="HV128" i="2"/>
  <c r="HV129" i="2"/>
  <c r="HV130" i="2"/>
  <c r="HV131" i="2"/>
  <c r="HV132" i="2"/>
  <c r="HV133" i="2"/>
  <c r="HV134" i="2"/>
  <c r="HV135" i="2"/>
  <c r="HV136" i="2"/>
  <c r="HV137" i="2"/>
  <c r="HV138" i="2"/>
  <c r="HV139" i="2"/>
  <c r="HV140" i="2"/>
  <c r="HV141" i="2"/>
  <c r="HV142" i="2"/>
  <c r="HV143" i="2"/>
  <c r="HV144" i="2"/>
  <c r="HV145" i="2"/>
  <c r="HV146" i="2"/>
  <c r="HV147" i="2"/>
  <c r="HV148" i="2"/>
  <c r="HV149" i="2"/>
  <c r="HV150" i="2"/>
  <c r="HV151" i="2"/>
  <c r="HV152" i="2"/>
  <c r="HV153" i="2"/>
  <c r="HV2" i="2"/>
  <c r="GX3" i="2"/>
  <c r="GX4" i="2"/>
  <c r="GX5" i="2"/>
  <c r="GX6" i="2"/>
  <c r="GX7" i="2"/>
  <c r="GX8" i="2"/>
  <c r="GX9" i="2"/>
  <c r="GX10" i="2"/>
  <c r="GX11" i="2"/>
  <c r="GX12" i="2"/>
  <c r="GX13" i="2"/>
  <c r="GX14" i="2"/>
  <c r="GX15" i="2"/>
  <c r="GX16" i="2"/>
  <c r="GX17" i="2"/>
  <c r="GX18" i="2"/>
  <c r="GX19" i="2"/>
  <c r="GX20" i="2"/>
  <c r="GX21" i="2"/>
  <c r="GX22" i="2"/>
  <c r="GX23" i="2"/>
  <c r="GX24" i="2"/>
  <c r="GX25" i="2"/>
  <c r="GX26" i="2"/>
  <c r="GX27" i="2"/>
  <c r="GX28" i="2"/>
  <c r="GX29" i="2"/>
  <c r="GX30" i="2"/>
  <c r="GX31" i="2"/>
  <c r="GX32" i="2"/>
  <c r="GX33" i="2"/>
  <c r="GX34" i="2"/>
  <c r="GX35" i="2"/>
  <c r="GX36" i="2"/>
  <c r="GX37" i="2"/>
  <c r="GX38" i="2"/>
  <c r="GX39" i="2"/>
  <c r="GX40" i="2"/>
  <c r="GX41" i="2"/>
  <c r="GX42" i="2"/>
  <c r="GX43" i="2"/>
  <c r="GX44" i="2"/>
  <c r="GX45" i="2"/>
  <c r="GX46" i="2"/>
  <c r="GX47" i="2"/>
  <c r="GX48" i="2"/>
  <c r="GX49" i="2"/>
  <c r="GX50" i="2"/>
  <c r="GX51" i="2"/>
  <c r="GX52" i="2"/>
  <c r="GX53" i="2"/>
  <c r="GX54" i="2"/>
  <c r="GX55" i="2"/>
  <c r="GX56" i="2"/>
  <c r="GX57" i="2"/>
  <c r="GX58" i="2"/>
  <c r="GX59" i="2"/>
  <c r="GX60" i="2"/>
  <c r="GX61" i="2"/>
  <c r="GX62" i="2"/>
  <c r="GX63" i="2"/>
  <c r="GX64" i="2"/>
  <c r="GX65" i="2"/>
  <c r="GX66" i="2"/>
  <c r="GX67" i="2"/>
  <c r="GX68" i="2"/>
  <c r="GX69" i="2"/>
  <c r="GX70" i="2"/>
  <c r="GX71" i="2"/>
  <c r="GX72" i="2"/>
  <c r="GX73" i="2"/>
  <c r="GX74" i="2"/>
  <c r="GX75" i="2"/>
  <c r="GX76" i="2"/>
  <c r="GX77" i="2"/>
  <c r="GX78" i="2"/>
  <c r="GX79" i="2"/>
  <c r="GX80" i="2"/>
  <c r="GX81" i="2"/>
  <c r="GX82" i="2"/>
  <c r="GX83" i="2"/>
  <c r="GX84" i="2"/>
  <c r="GX85" i="2"/>
  <c r="GX86" i="2"/>
  <c r="GX87" i="2"/>
  <c r="GX88" i="2"/>
  <c r="GX89" i="2"/>
  <c r="GX90" i="2"/>
  <c r="GX91" i="2"/>
  <c r="GX92" i="2"/>
  <c r="GX93" i="2"/>
  <c r="GX94" i="2"/>
  <c r="GX95" i="2"/>
  <c r="GX96" i="2"/>
  <c r="GX97" i="2"/>
  <c r="GX98" i="2"/>
  <c r="GX99" i="2"/>
  <c r="GX100" i="2"/>
  <c r="GX101" i="2"/>
  <c r="GX102" i="2"/>
  <c r="GX103" i="2"/>
  <c r="GX104" i="2"/>
  <c r="GX105" i="2"/>
  <c r="GX106" i="2"/>
  <c r="GX107" i="2"/>
  <c r="GX108" i="2"/>
  <c r="GX109" i="2"/>
  <c r="GX110" i="2"/>
  <c r="GX111" i="2"/>
  <c r="GX112" i="2"/>
  <c r="GX113" i="2"/>
  <c r="GX114" i="2"/>
  <c r="GX115" i="2"/>
  <c r="GX116" i="2"/>
  <c r="GX117" i="2"/>
  <c r="GX118" i="2"/>
  <c r="GX119" i="2"/>
  <c r="GX120" i="2"/>
  <c r="GX121" i="2"/>
  <c r="GX122" i="2"/>
  <c r="GX123" i="2"/>
  <c r="GX124" i="2"/>
  <c r="GX125" i="2"/>
  <c r="GX126" i="2"/>
  <c r="GX127" i="2"/>
  <c r="GX128" i="2"/>
  <c r="GX129" i="2"/>
  <c r="GX130" i="2"/>
  <c r="GX131" i="2"/>
  <c r="GX132" i="2"/>
  <c r="GX133" i="2"/>
  <c r="GX134" i="2"/>
  <c r="GX135" i="2"/>
  <c r="GX136" i="2"/>
  <c r="GX137" i="2"/>
  <c r="GX138" i="2"/>
  <c r="GX139" i="2"/>
  <c r="GX140" i="2"/>
  <c r="GX141" i="2"/>
  <c r="GX142" i="2"/>
  <c r="GX143" i="2"/>
  <c r="GX144" i="2"/>
  <c r="GX145" i="2"/>
  <c r="GX146" i="2"/>
  <c r="GX147" i="2"/>
  <c r="GX148" i="2"/>
  <c r="GX149" i="2"/>
  <c r="GX150" i="2"/>
  <c r="GX151" i="2"/>
  <c r="GX152" i="2"/>
  <c r="GX153" i="2"/>
  <c r="GX2" i="2"/>
  <c r="GP3" i="2"/>
  <c r="GP4" i="2"/>
  <c r="GP5" i="2"/>
  <c r="GP6" i="2"/>
  <c r="GP7" i="2"/>
  <c r="GP8" i="2"/>
  <c r="GP9" i="2"/>
  <c r="GP10" i="2"/>
  <c r="GP11" i="2"/>
  <c r="GP12" i="2"/>
  <c r="GP13" i="2"/>
  <c r="GP14" i="2"/>
  <c r="GP15" i="2"/>
  <c r="GP16" i="2"/>
  <c r="GP17" i="2"/>
  <c r="GP18" i="2"/>
  <c r="GP19" i="2"/>
  <c r="GP20" i="2"/>
  <c r="GP21" i="2"/>
  <c r="GP22" i="2"/>
  <c r="GP23" i="2"/>
  <c r="GP24" i="2"/>
  <c r="GP25" i="2"/>
  <c r="GP26" i="2"/>
  <c r="GP27" i="2"/>
  <c r="GP28" i="2"/>
  <c r="GP29" i="2"/>
  <c r="GP30" i="2"/>
  <c r="GP31" i="2"/>
  <c r="GP32" i="2"/>
  <c r="GP33" i="2"/>
  <c r="GP34" i="2"/>
  <c r="GP35" i="2"/>
  <c r="GP36" i="2"/>
  <c r="GP37" i="2"/>
  <c r="GP38" i="2"/>
  <c r="GP39" i="2"/>
  <c r="GP40" i="2"/>
  <c r="GP41" i="2"/>
  <c r="GP42" i="2"/>
  <c r="GP43" i="2"/>
  <c r="GP44" i="2"/>
  <c r="GP45" i="2"/>
  <c r="GP46" i="2"/>
  <c r="GP47" i="2"/>
  <c r="GP48" i="2"/>
  <c r="GP49" i="2"/>
  <c r="GP50" i="2"/>
  <c r="GP51" i="2"/>
  <c r="GP52" i="2"/>
  <c r="GP53" i="2"/>
  <c r="GP54" i="2"/>
  <c r="GP55" i="2"/>
  <c r="GP56" i="2"/>
  <c r="GP57" i="2"/>
  <c r="GP58" i="2"/>
  <c r="GP59" i="2"/>
  <c r="GP60" i="2"/>
  <c r="GP61" i="2"/>
  <c r="GP62" i="2"/>
  <c r="GP63" i="2"/>
  <c r="GP64" i="2"/>
  <c r="GP65" i="2"/>
  <c r="GP66" i="2"/>
  <c r="GP67" i="2"/>
  <c r="GP68" i="2"/>
  <c r="GP69" i="2"/>
  <c r="GP70" i="2"/>
  <c r="GP71" i="2"/>
  <c r="GP72" i="2"/>
  <c r="GP73" i="2"/>
  <c r="GP74" i="2"/>
  <c r="GP75" i="2"/>
  <c r="GP76" i="2"/>
  <c r="GP77" i="2"/>
  <c r="GP78" i="2"/>
  <c r="GP79" i="2"/>
  <c r="GP80" i="2"/>
  <c r="GP81" i="2"/>
  <c r="GP82" i="2"/>
  <c r="GP83" i="2"/>
  <c r="GP84" i="2"/>
  <c r="GP85" i="2"/>
  <c r="GP86" i="2"/>
  <c r="GP87" i="2"/>
  <c r="GP88" i="2"/>
  <c r="GP89" i="2"/>
  <c r="GP90" i="2"/>
  <c r="GP91" i="2"/>
  <c r="GP92" i="2"/>
  <c r="GP93" i="2"/>
  <c r="GP94" i="2"/>
  <c r="GP95" i="2"/>
  <c r="GP96" i="2"/>
  <c r="GP97" i="2"/>
  <c r="GP98" i="2"/>
  <c r="GP99" i="2"/>
  <c r="GP100" i="2"/>
  <c r="GP101" i="2"/>
  <c r="GP102" i="2"/>
  <c r="GP103" i="2"/>
  <c r="GP104" i="2"/>
  <c r="GP105" i="2"/>
  <c r="GP106" i="2"/>
  <c r="GP107" i="2"/>
  <c r="GP108" i="2"/>
  <c r="GP109" i="2"/>
  <c r="GP110" i="2"/>
  <c r="GP111" i="2"/>
  <c r="GP112" i="2"/>
  <c r="GP113" i="2"/>
  <c r="GP114" i="2"/>
  <c r="GP115" i="2"/>
  <c r="GP116" i="2"/>
  <c r="GP117" i="2"/>
  <c r="GP118" i="2"/>
  <c r="GP119" i="2"/>
  <c r="GP120" i="2"/>
  <c r="GP121" i="2"/>
  <c r="GP122" i="2"/>
  <c r="GP123" i="2"/>
  <c r="GP124" i="2"/>
  <c r="GP125" i="2"/>
  <c r="GP126" i="2"/>
  <c r="GP127" i="2"/>
  <c r="GP128" i="2"/>
  <c r="GP129" i="2"/>
  <c r="GP130" i="2"/>
  <c r="GP131" i="2"/>
  <c r="GP132" i="2"/>
  <c r="GP133" i="2"/>
  <c r="GP134" i="2"/>
  <c r="GP135" i="2"/>
  <c r="GP136" i="2"/>
  <c r="GP137" i="2"/>
  <c r="GP138" i="2"/>
  <c r="GP139" i="2"/>
  <c r="GP140" i="2"/>
  <c r="GP141" i="2"/>
  <c r="GP142" i="2"/>
  <c r="GP143" i="2"/>
  <c r="GP144" i="2"/>
  <c r="GP145" i="2"/>
  <c r="GP146" i="2"/>
  <c r="GP147" i="2"/>
  <c r="GP148" i="2"/>
  <c r="GP149" i="2"/>
  <c r="GP150" i="2"/>
  <c r="GP151" i="2"/>
  <c r="GP152" i="2"/>
  <c r="GP153" i="2"/>
  <c r="GP2" i="2"/>
  <c r="DB3" i="2"/>
  <c r="DC3" i="2" s="1"/>
  <c r="DB4" i="2"/>
  <c r="DC4" i="2" s="1"/>
  <c r="DB5" i="2"/>
  <c r="DC5" i="2" s="1"/>
  <c r="DB6" i="2"/>
  <c r="DC6" i="2" s="1"/>
  <c r="DB7" i="2"/>
  <c r="DC7" i="2" s="1"/>
  <c r="DB8" i="2"/>
  <c r="DC8" i="2" s="1"/>
  <c r="DB9" i="2"/>
  <c r="DC9" i="2" s="1"/>
  <c r="DB10" i="2"/>
  <c r="DC10" i="2" s="1"/>
  <c r="DB11" i="2"/>
  <c r="DC11" i="2" s="1"/>
  <c r="DB12" i="2"/>
  <c r="DC12" i="2" s="1"/>
  <c r="DB13" i="2"/>
  <c r="DC13" i="2" s="1"/>
  <c r="DB14" i="2"/>
  <c r="DC14" i="2" s="1"/>
  <c r="DB15" i="2"/>
  <c r="DC15" i="2" s="1"/>
  <c r="DB16" i="2"/>
  <c r="DC16" i="2" s="1"/>
  <c r="DB17" i="2"/>
  <c r="DC17" i="2" s="1"/>
  <c r="DB18" i="2"/>
  <c r="DC18" i="2" s="1"/>
  <c r="DB19" i="2"/>
  <c r="DC19" i="2" s="1"/>
  <c r="DB20" i="2"/>
  <c r="DC20" i="2" s="1"/>
  <c r="DB21" i="2"/>
  <c r="DC21" i="2" s="1"/>
  <c r="DB22" i="2"/>
  <c r="DC22" i="2" s="1"/>
  <c r="DB23" i="2"/>
  <c r="DC23" i="2" s="1"/>
  <c r="DB24" i="2"/>
  <c r="DC24" i="2" s="1"/>
  <c r="DB25" i="2"/>
  <c r="DC25" i="2" s="1"/>
  <c r="DB26" i="2"/>
  <c r="DC26" i="2" s="1"/>
  <c r="DB27" i="2"/>
  <c r="DC27" i="2" s="1"/>
  <c r="DB28" i="2"/>
  <c r="DC28" i="2" s="1"/>
  <c r="DB29" i="2"/>
  <c r="DC29" i="2" s="1"/>
  <c r="DB31" i="2"/>
  <c r="DC31" i="2" s="1"/>
  <c r="DB32" i="2"/>
  <c r="DC32" i="2" s="1"/>
  <c r="DB33" i="2"/>
  <c r="DC33" i="2" s="1"/>
  <c r="DB34" i="2"/>
  <c r="DC34" i="2" s="1"/>
  <c r="DB35" i="2"/>
  <c r="DC35" i="2" s="1"/>
  <c r="DB36" i="2"/>
  <c r="DC36" i="2" s="1"/>
  <c r="DB37" i="2"/>
  <c r="DC37" i="2" s="1"/>
  <c r="DB38" i="2"/>
  <c r="DC38" i="2" s="1"/>
  <c r="DB39" i="2"/>
  <c r="DC39" i="2" s="1"/>
  <c r="DB40" i="2"/>
  <c r="DC40" i="2" s="1"/>
  <c r="DB41" i="2"/>
  <c r="DC41" i="2" s="1"/>
  <c r="DB42" i="2"/>
  <c r="DC42" i="2" s="1"/>
  <c r="DB43" i="2"/>
  <c r="DC43" i="2" s="1"/>
  <c r="DB44" i="2"/>
  <c r="DC44" i="2" s="1"/>
  <c r="DB45" i="2"/>
  <c r="DC45" i="2" s="1"/>
  <c r="DB46" i="2"/>
  <c r="DC46" i="2" s="1"/>
  <c r="DB47" i="2"/>
  <c r="DC47" i="2" s="1"/>
  <c r="DB48" i="2"/>
  <c r="DC48" i="2" s="1"/>
  <c r="DB49" i="2"/>
  <c r="DC49" i="2" s="1"/>
  <c r="DB50" i="2"/>
  <c r="DC50" i="2" s="1"/>
  <c r="DB51" i="2"/>
  <c r="DC51" i="2" s="1"/>
  <c r="DB52" i="2"/>
  <c r="DC52" i="2" s="1"/>
  <c r="DB53" i="2"/>
  <c r="DC53" i="2" s="1"/>
  <c r="DB54" i="2"/>
  <c r="DC54" i="2" s="1"/>
  <c r="DB55" i="2"/>
  <c r="DC55" i="2" s="1"/>
  <c r="DB56" i="2"/>
  <c r="DC56" i="2" s="1"/>
  <c r="DB57" i="2"/>
  <c r="DC57" i="2" s="1"/>
  <c r="DB58" i="2"/>
  <c r="DC58" i="2" s="1"/>
  <c r="DB59" i="2"/>
  <c r="DC59" i="2" s="1"/>
  <c r="DB60" i="2"/>
  <c r="DC60" i="2" s="1"/>
  <c r="DB61" i="2"/>
  <c r="DC61" i="2" s="1"/>
  <c r="DB62" i="2"/>
  <c r="DC62" i="2" s="1"/>
  <c r="DB63" i="2"/>
  <c r="DC63" i="2" s="1"/>
  <c r="DB64" i="2"/>
  <c r="DC64" i="2" s="1"/>
  <c r="DB65" i="2"/>
  <c r="DC65" i="2" s="1"/>
  <c r="DB66" i="2"/>
  <c r="DC66" i="2" s="1"/>
  <c r="DB67" i="2"/>
  <c r="DC67" i="2" s="1"/>
  <c r="DB68" i="2"/>
  <c r="DC68" i="2" s="1"/>
  <c r="DB69" i="2"/>
  <c r="DC69" i="2" s="1"/>
  <c r="DB70" i="2"/>
  <c r="DC70" i="2" s="1"/>
  <c r="DB71" i="2"/>
  <c r="DC71" i="2" s="1"/>
  <c r="DB72" i="2"/>
  <c r="DC72" i="2" s="1"/>
  <c r="DB73" i="2"/>
  <c r="DC73" i="2" s="1"/>
  <c r="DB74" i="2"/>
  <c r="DC74" i="2" s="1"/>
  <c r="DB76" i="2"/>
  <c r="DC76" i="2" s="1"/>
  <c r="DB77" i="2"/>
  <c r="DC77" i="2" s="1"/>
  <c r="DB78" i="2"/>
  <c r="DC78" i="2" s="1"/>
  <c r="DB79" i="2"/>
  <c r="DC79" i="2" s="1"/>
  <c r="DB80" i="2"/>
  <c r="DC80" i="2" s="1"/>
  <c r="DB81" i="2"/>
  <c r="DC81" i="2" s="1"/>
  <c r="DB82" i="2"/>
  <c r="DC82" i="2" s="1"/>
  <c r="DB83" i="2"/>
  <c r="DC83" i="2" s="1"/>
  <c r="DB84" i="2"/>
  <c r="DC84" i="2" s="1"/>
  <c r="DB85" i="2"/>
  <c r="DC85" i="2" s="1"/>
  <c r="DB86" i="2"/>
  <c r="DC86" i="2" s="1"/>
  <c r="DB87" i="2"/>
  <c r="DC87" i="2" s="1"/>
  <c r="DB88" i="2"/>
  <c r="DC88" i="2" s="1"/>
  <c r="DB89" i="2"/>
  <c r="DC89" i="2" s="1"/>
  <c r="DB90" i="2"/>
  <c r="DC90" i="2" s="1"/>
  <c r="DB91" i="2"/>
  <c r="DC91" i="2" s="1"/>
  <c r="DB92" i="2"/>
  <c r="DC92" i="2" s="1"/>
  <c r="DB93" i="2"/>
  <c r="DC93" i="2" s="1"/>
  <c r="DB94" i="2"/>
  <c r="DC94" i="2" s="1"/>
  <c r="DB95" i="2"/>
  <c r="DC95" i="2" s="1"/>
  <c r="DB96" i="2"/>
  <c r="DC96" i="2" s="1"/>
  <c r="DB97" i="2"/>
  <c r="DC97" i="2" s="1"/>
  <c r="DB98" i="2"/>
  <c r="DC98" i="2" s="1"/>
  <c r="DB99" i="2"/>
  <c r="DC99" i="2" s="1"/>
  <c r="DB100" i="2"/>
  <c r="DC100" i="2" s="1"/>
  <c r="DB101" i="2"/>
  <c r="DC101" i="2" s="1"/>
  <c r="DB102" i="2"/>
  <c r="DC102" i="2" s="1"/>
  <c r="DB103" i="2"/>
  <c r="DC103" i="2" s="1"/>
  <c r="DB104" i="2"/>
  <c r="DC104" i="2" s="1"/>
  <c r="DB105" i="2"/>
  <c r="DC105" i="2" s="1"/>
  <c r="DB106" i="2"/>
  <c r="DC106" i="2" s="1"/>
  <c r="DB107" i="2"/>
  <c r="DC107" i="2" s="1"/>
  <c r="DB108" i="2"/>
  <c r="DC108" i="2" s="1"/>
  <c r="DB109" i="2"/>
  <c r="DC109" i="2" s="1"/>
  <c r="DB110" i="2"/>
  <c r="DC110" i="2" s="1"/>
  <c r="DB111" i="2"/>
  <c r="DC111" i="2" s="1"/>
  <c r="DB112" i="2"/>
  <c r="DC112" i="2" s="1"/>
  <c r="DB113" i="2"/>
  <c r="DC113" i="2" s="1"/>
  <c r="DB114" i="2"/>
  <c r="DC114" i="2" s="1"/>
  <c r="DB115" i="2"/>
  <c r="DC115" i="2" s="1"/>
  <c r="DB116" i="2"/>
  <c r="DC116" i="2" s="1"/>
  <c r="DB117" i="2"/>
  <c r="DC117" i="2" s="1"/>
  <c r="DB118" i="2"/>
  <c r="DC118" i="2" s="1"/>
  <c r="DB119" i="2"/>
  <c r="DC119" i="2" s="1"/>
  <c r="DB120" i="2"/>
  <c r="DC120" i="2" s="1"/>
  <c r="DB121" i="2"/>
  <c r="DC121" i="2" s="1"/>
  <c r="DB122" i="2"/>
  <c r="DC122" i="2" s="1"/>
  <c r="DB123" i="2"/>
  <c r="DC123" i="2" s="1"/>
  <c r="DB124" i="2"/>
  <c r="DC124" i="2" s="1"/>
  <c r="DB125" i="2"/>
  <c r="DC125" i="2" s="1"/>
  <c r="DB126" i="2"/>
  <c r="DC126" i="2" s="1"/>
  <c r="DB127" i="2"/>
  <c r="DC127" i="2" s="1"/>
  <c r="DB128" i="2"/>
  <c r="DC128" i="2" s="1"/>
  <c r="DB129" i="2"/>
  <c r="DC129" i="2" s="1"/>
  <c r="DB130" i="2"/>
  <c r="DC130" i="2" s="1"/>
  <c r="DB131" i="2"/>
  <c r="DC131" i="2" s="1"/>
  <c r="DB132" i="2"/>
  <c r="DC132" i="2" s="1"/>
  <c r="DB133" i="2"/>
  <c r="DC133" i="2" s="1"/>
  <c r="DB134" i="2"/>
  <c r="DC134" i="2" s="1"/>
  <c r="DB135" i="2"/>
  <c r="DC135" i="2" s="1"/>
  <c r="DB136" i="2"/>
  <c r="DC136" i="2" s="1"/>
  <c r="DB137" i="2"/>
  <c r="DC137" i="2" s="1"/>
  <c r="DB138" i="2"/>
  <c r="DC138" i="2" s="1"/>
  <c r="DB139" i="2"/>
  <c r="DC139" i="2" s="1"/>
  <c r="DB140" i="2"/>
  <c r="DC140" i="2" s="1"/>
  <c r="DB141" i="2"/>
  <c r="DC141" i="2" s="1"/>
  <c r="DB142" i="2"/>
  <c r="DC142" i="2" s="1"/>
  <c r="DB143" i="2"/>
  <c r="DC143" i="2" s="1"/>
  <c r="DB144" i="2"/>
  <c r="DC144" i="2" s="1"/>
  <c r="DB145" i="2"/>
  <c r="DC145" i="2" s="1"/>
  <c r="DB146" i="2"/>
  <c r="DC146" i="2" s="1"/>
  <c r="DB147" i="2"/>
  <c r="DC147" i="2" s="1"/>
  <c r="DB148" i="2"/>
  <c r="DC148" i="2" s="1"/>
  <c r="DB149" i="2"/>
  <c r="DC149" i="2" s="1"/>
  <c r="DB150" i="2"/>
  <c r="DC150" i="2" s="1"/>
  <c r="DB151" i="2"/>
  <c r="DC151" i="2" s="1"/>
  <c r="DB152" i="2"/>
  <c r="DC152" i="2" s="1"/>
  <c r="DB153" i="2"/>
  <c r="DC153" i="2" s="1"/>
  <c r="DB2" i="2"/>
  <c r="DC2" i="2" s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2" i="2"/>
  <c r="GA3" i="2"/>
  <c r="GA4" i="2"/>
  <c r="GA5" i="2"/>
  <c r="GA6" i="2"/>
  <c r="GA7" i="2"/>
  <c r="GA8" i="2"/>
  <c r="GA9" i="2"/>
  <c r="GA10" i="2"/>
  <c r="GA11" i="2"/>
  <c r="GA12" i="2"/>
  <c r="GA13" i="2"/>
  <c r="GA14" i="2"/>
  <c r="GA15" i="2"/>
  <c r="GA16" i="2"/>
  <c r="GA17" i="2"/>
  <c r="GA18" i="2"/>
  <c r="GA19" i="2"/>
  <c r="GA20" i="2"/>
  <c r="GA21" i="2"/>
  <c r="GA22" i="2"/>
  <c r="GA23" i="2"/>
  <c r="GA24" i="2"/>
  <c r="GA25" i="2"/>
  <c r="GA26" i="2"/>
  <c r="GA27" i="2"/>
  <c r="GA28" i="2"/>
  <c r="GA29" i="2"/>
  <c r="GA30" i="2"/>
  <c r="GA31" i="2"/>
  <c r="GA32" i="2"/>
  <c r="GA33" i="2"/>
  <c r="GA34" i="2"/>
  <c r="GA35" i="2"/>
  <c r="GA36" i="2"/>
  <c r="GA37" i="2"/>
  <c r="GA38" i="2"/>
  <c r="GA39" i="2"/>
  <c r="GA40" i="2"/>
  <c r="GA41" i="2"/>
  <c r="GA42" i="2"/>
  <c r="GA43" i="2"/>
  <c r="GA44" i="2"/>
  <c r="GA45" i="2"/>
  <c r="GA46" i="2"/>
  <c r="GA47" i="2"/>
  <c r="GA48" i="2"/>
  <c r="GA49" i="2"/>
  <c r="GA50" i="2"/>
  <c r="GA51" i="2"/>
  <c r="GA52" i="2"/>
  <c r="GA53" i="2"/>
  <c r="GA54" i="2"/>
  <c r="GA55" i="2"/>
  <c r="GA56" i="2"/>
  <c r="GA57" i="2"/>
  <c r="GA58" i="2"/>
  <c r="GA59" i="2"/>
  <c r="GA60" i="2"/>
  <c r="GA61" i="2"/>
  <c r="GA62" i="2"/>
  <c r="GA63" i="2"/>
  <c r="GA64" i="2"/>
  <c r="GA65" i="2"/>
  <c r="GA66" i="2"/>
  <c r="GA67" i="2"/>
  <c r="GA68" i="2"/>
  <c r="GA69" i="2"/>
  <c r="GA70" i="2"/>
  <c r="GA71" i="2"/>
  <c r="GA72" i="2"/>
  <c r="GA73" i="2"/>
  <c r="GA74" i="2"/>
  <c r="GA75" i="2"/>
  <c r="GA76" i="2"/>
  <c r="GA77" i="2"/>
  <c r="GA78" i="2"/>
  <c r="GA79" i="2"/>
  <c r="GA80" i="2"/>
  <c r="GA81" i="2"/>
  <c r="GA82" i="2"/>
  <c r="GA83" i="2"/>
  <c r="GA84" i="2"/>
  <c r="GA85" i="2"/>
  <c r="GA86" i="2"/>
  <c r="GA87" i="2"/>
  <c r="GA88" i="2"/>
  <c r="GA89" i="2"/>
  <c r="GA90" i="2"/>
  <c r="GA91" i="2"/>
  <c r="GA92" i="2"/>
  <c r="GA93" i="2"/>
  <c r="GA94" i="2"/>
  <c r="GA95" i="2"/>
  <c r="GA96" i="2"/>
  <c r="GA97" i="2"/>
  <c r="GA98" i="2"/>
  <c r="GA99" i="2"/>
  <c r="GA100" i="2"/>
  <c r="GA101" i="2"/>
  <c r="GA102" i="2"/>
  <c r="GA103" i="2"/>
  <c r="GA104" i="2"/>
  <c r="GA105" i="2"/>
  <c r="GA106" i="2"/>
  <c r="GA107" i="2"/>
  <c r="GA108" i="2"/>
  <c r="GA109" i="2"/>
  <c r="GA110" i="2"/>
  <c r="GA111" i="2"/>
  <c r="GA112" i="2"/>
  <c r="GA113" i="2"/>
  <c r="GA114" i="2"/>
  <c r="GA115" i="2"/>
  <c r="GA116" i="2"/>
  <c r="GA117" i="2"/>
  <c r="GA118" i="2"/>
  <c r="GA119" i="2"/>
  <c r="GA120" i="2"/>
  <c r="GA121" i="2"/>
  <c r="GA122" i="2"/>
  <c r="GA123" i="2"/>
  <c r="GA124" i="2"/>
  <c r="GA125" i="2"/>
  <c r="GA126" i="2"/>
  <c r="GA127" i="2"/>
  <c r="GA128" i="2"/>
  <c r="GA129" i="2"/>
  <c r="GA130" i="2"/>
  <c r="GA131" i="2"/>
  <c r="GA132" i="2"/>
  <c r="GA133" i="2"/>
  <c r="GA134" i="2"/>
  <c r="GA135" i="2"/>
  <c r="GA136" i="2"/>
  <c r="GA137" i="2"/>
  <c r="GA138" i="2"/>
  <c r="GA139" i="2"/>
  <c r="GA140" i="2"/>
  <c r="GA141" i="2"/>
  <c r="GA142" i="2"/>
  <c r="GA143" i="2"/>
  <c r="GA144" i="2"/>
  <c r="GA145" i="2"/>
  <c r="GA146" i="2"/>
  <c r="GA147" i="2"/>
  <c r="GA148" i="2"/>
  <c r="GA149" i="2"/>
  <c r="GA150" i="2"/>
  <c r="GA151" i="2"/>
  <c r="GA152" i="2"/>
  <c r="GA153" i="2"/>
  <c r="GA2" i="2"/>
  <c r="FS3" i="2"/>
  <c r="FS4" i="2"/>
  <c r="FS5" i="2"/>
  <c r="FS6" i="2"/>
  <c r="FS7" i="2"/>
  <c r="FS8" i="2"/>
  <c r="FS9" i="2"/>
  <c r="FS10" i="2"/>
  <c r="FS11" i="2"/>
  <c r="FS12" i="2"/>
  <c r="FS13" i="2"/>
  <c r="FS14" i="2"/>
  <c r="FS15" i="2"/>
  <c r="FS16" i="2"/>
  <c r="FS17" i="2"/>
  <c r="FS18" i="2"/>
  <c r="FS19" i="2"/>
  <c r="FS20" i="2"/>
  <c r="FS21" i="2"/>
  <c r="FS22" i="2"/>
  <c r="FS23" i="2"/>
  <c r="FS24" i="2"/>
  <c r="FS25" i="2"/>
  <c r="FS26" i="2"/>
  <c r="FS27" i="2"/>
  <c r="FS28" i="2"/>
  <c r="FS29" i="2"/>
  <c r="FS30" i="2"/>
  <c r="FS31" i="2"/>
  <c r="FS32" i="2"/>
  <c r="FS33" i="2"/>
  <c r="FS34" i="2"/>
  <c r="FS35" i="2"/>
  <c r="FS36" i="2"/>
  <c r="FS37" i="2"/>
  <c r="FS38" i="2"/>
  <c r="FS39" i="2"/>
  <c r="FS40" i="2"/>
  <c r="FS41" i="2"/>
  <c r="FS42" i="2"/>
  <c r="FS43" i="2"/>
  <c r="FS44" i="2"/>
  <c r="FS45" i="2"/>
  <c r="FS46" i="2"/>
  <c r="FS47" i="2"/>
  <c r="FS48" i="2"/>
  <c r="FS49" i="2"/>
  <c r="FS50" i="2"/>
  <c r="FS51" i="2"/>
  <c r="FS52" i="2"/>
  <c r="FS53" i="2"/>
  <c r="FS54" i="2"/>
  <c r="FS55" i="2"/>
  <c r="FS56" i="2"/>
  <c r="FS57" i="2"/>
  <c r="FS58" i="2"/>
  <c r="FS59" i="2"/>
  <c r="FS60" i="2"/>
  <c r="FS61" i="2"/>
  <c r="FS62" i="2"/>
  <c r="FS63" i="2"/>
  <c r="FS64" i="2"/>
  <c r="FS65" i="2"/>
  <c r="FS66" i="2"/>
  <c r="FS67" i="2"/>
  <c r="FS68" i="2"/>
  <c r="FS69" i="2"/>
  <c r="FS70" i="2"/>
  <c r="FS71" i="2"/>
  <c r="FS72" i="2"/>
  <c r="FS73" i="2"/>
  <c r="FS74" i="2"/>
  <c r="FS75" i="2"/>
  <c r="FS76" i="2"/>
  <c r="FS77" i="2"/>
  <c r="FS78" i="2"/>
  <c r="FS79" i="2"/>
  <c r="FS80" i="2"/>
  <c r="FS81" i="2"/>
  <c r="FS82" i="2"/>
  <c r="FS83" i="2"/>
  <c r="FS84" i="2"/>
  <c r="FS85" i="2"/>
  <c r="FS86" i="2"/>
  <c r="FS87" i="2"/>
  <c r="FS88" i="2"/>
  <c r="FS89" i="2"/>
  <c r="FS90" i="2"/>
  <c r="FS91" i="2"/>
  <c r="FS92" i="2"/>
  <c r="FS93" i="2"/>
  <c r="FS94" i="2"/>
  <c r="FS95" i="2"/>
  <c r="FS96" i="2"/>
  <c r="FS97" i="2"/>
  <c r="FS98" i="2"/>
  <c r="FS99" i="2"/>
  <c r="FS100" i="2"/>
  <c r="FS101" i="2"/>
  <c r="FS102" i="2"/>
  <c r="FS103" i="2"/>
  <c r="FS104" i="2"/>
  <c r="FS105" i="2"/>
  <c r="FS106" i="2"/>
  <c r="FS107" i="2"/>
  <c r="FS108" i="2"/>
  <c r="FS109" i="2"/>
  <c r="FS110" i="2"/>
  <c r="FS111" i="2"/>
  <c r="FS112" i="2"/>
  <c r="FS113" i="2"/>
  <c r="FS114" i="2"/>
  <c r="FS115" i="2"/>
  <c r="FS116" i="2"/>
  <c r="FS117" i="2"/>
  <c r="FS118" i="2"/>
  <c r="FS119" i="2"/>
  <c r="FS120" i="2"/>
  <c r="FS121" i="2"/>
  <c r="FS122" i="2"/>
  <c r="FS123" i="2"/>
  <c r="FS124" i="2"/>
  <c r="FS125" i="2"/>
  <c r="FS126" i="2"/>
  <c r="FS127" i="2"/>
  <c r="FS128" i="2"/>
  <c r="FS129" i="2"/>
  <c r="FS130" i="2"/>
  <c r="FS131" i="2"/>
  <c r="FS132" i="2"/>
  <c r="FS133" i="2"/>
  <c r="FS134" i="2"/>
  <c r="FS135" i="2"/>
  <c r="FS136" i="2"/>
  <c r="FS137" i="2"/>
  <c r="FS138" i="2"/>
  <c r="FS139" i="2"/>
  <c r="FS140" i="2"/>
  <c r="FS141" i="2"/>
  <c r="FS142" i="2"/>
  <c r="FS143" i="2"/>
  <c r="FS144" i="2"/>
  <c r="FS145" i="2"/>
  <c r="FS146" i="2"/>
  <c r="FS147" i="2"/>
  <c r="FS148" i="2"/>
  <c r="FS149" i="2"/>
  <c r="FS150" i="2"/>
  <c r="FS151" i="2"/>
  <c r="FS152" i="2"/>
  <c r="FS153" i="2"/>
  <c r="FS2" i="2"/>
  <c r="FK3" i="2"/>
  <c r="FK4" i="2"/>
  <c r="FK5" i="2"/>
  <c r="FK6" i="2"/>
  <c r="FK7" i="2"/>
  <c r="FK8" i="2"/>
  <c r="FK9" i="2"/>
  <c r="FK10" i="2"/>
  <c r="FK11" i="2"/>
  <c r="FK12" i="2"/>
  <c r="FK13" i="2"/>
  <c r="FK14" i="2"/>
  <c r="FK15" i="2"/>
  <c r="FK16" i="2"/>
  <c r="FK17" i="2"/>
  <c r="FK18" i="2"/>
  <c r="FK19" i="2"/>
  <c r="FK20" i="2"/>
  <c r="FK21" i="2"/>
  <c r="FK22" i="2"/>
  <c r="FK23" i="2"/>
  <c r="FK24" i="2"/>
  <c r="FK25" i="2"/>
  <c r="FK26" i="2"/>
  <c r="FK27" i="2"/>
  <c r="FK28" i="2"/>
  <c r="FK29" i="2"/>
  <c r="FK30" i="2"/>
  <c r="FK31" i="2"/>
  <c r="FK32" i="2"/>
  <c r="FK33" i="2"/>
  <c r="FK34" i="2"/>
  <c r="FK35" i="2"/>
  <c r="FK36" i="2"/>
  <c r="FK37" i="2"/>
  <c r="FK38" i="2"/>
  <c r="FK39" i="2"/>
  <c r="FK40" i="2"/>
  <c r="FK41" i="2"/>
  <c r="FK42" i="2"/>
  <c r="FK43" i="2"/>
  <c r="FK44" i="2"/>
  <c r="FK45" i="2"/>
  <c r="FK46" i="2"/>
  <c r="FK47" i="2"/>
  <c r="FK48" i="2"/>
  <c r="FK49" i="2"/>
  <c r="FK50" i="2"/>
  <c r="FK51" i="2"/>
  <c r="FK52" i="2"/>
  <c r="FK53" i="2"/>
  <c r="FK54" i="2"/>
  <c r="FK55" i="2"/>
  <c r="FK56" i="2"/>
  <c r="FK57" i="2"/>
  <c r="FK58" i="2"/>
  <c r="FK59" i="2"/>
  <c r="FK60" i="2"/>
  <c r="FK61" i="2"/>
  <c r="FK62" i="2"/>
  <c r="FK63" i="2"/>
  <c r="FK64" i="2"/>
  <c r="FK65" i="2"/>
  <c r="FK66" i="2"/>
  <c r="FK67" i="2"/>
  <c r="FK68" i="2"/>
  <c r="FK69" i="2"/>
  <c r="FK70" i="2"/>
  <c r="FK71" i="2"/>
  <c r="FK72" i="2"/>
  <c r="FK73" i="2"/>
  <c r="FK74" i="2"/>
  <c r="FK75" i="2"/>
  <c r="FK76" i="2"/>
  <c r="FK77" i="2"/>
  <c r="FK78" i="2"/>
  <c r="FK79" i="2"/>
  <c r="FK80" i="2"/>
  <c r="FK81" i="2"/>
  <c r="FK82" i="2"/>
  <c r="FK83" i="2"/>
  <c r="FK84" i="2"/>
  <c r="FK85" i="2"/>
  <c r="FK86" i="2"/>
  <c r="FK87" i="2"/>
  <c r="FK88" i="2"/>
  <c r="FK89" i="2"/>
  <c r="FK90" i="2"/>
  <c r="FK91" i="2"/>
  <c r="FK92" i="2"/>
  <c r="FK93" i="2"/>
  <c r="FK94" i="2"/>
  <c r="FK95" i="2"/>
  <c r="FK96" i="2"/>
  <c r="FK97" i="2"/>
  <c r="FK98" i="2"/>
  <c r="FK99" i="2"/>
  <c r="FK100" i="2"/>
  <c r="FK101" i="2"/>
  <c r="FK102" i="2"/>
  <c r="FK103" i="2"/>
  <c r="FK104" i="2"/>
  <c r="FK105" i="2"/>
  <c r="FK106" i="2"/>
  <c r="FK107" i="2"/>
  <c r="FK108" i="2"/>
  <c r="FK109" i="2"/>
  <c r="FK110" i="2"/>
  <c r="FK111" i="2"/>
  <c r="FK112" i="2"/>
  <c r="FK113" i="2"/>
  <c r="FK114" i="2"/>
  <c r="FK115" i="2"/>
  <c r="FK116" i="2"/>
  <c r="FK117" i="2"/>
  <c r="FK118" i="2"/>
  <c r="FK119" i="2"/>
  <c r="FK120" i="2"/>
  <c r="FK121" i="2"/>
  <c r="FK122" i="2"/>
  <c r="FK123" i="2"/>
  <c r="FK124" i="2"/>
  <c r="FK125" i="2"/>
  <c r="FK126" i="2"/>
  <c r="FK127" i="2"/>
  <c r="FK128" i="2"/>
  <c r="FK129" i="2"/>
  <c r="FK130" i="2"/>
  <c r="FK131" i="2"/>
  <c r="FK132" i="2"/>
  <c r="FK133" i="2"/>
  <c r="FK134" i="2"/>
  <c r="FK135" i="2"/>
  <c r="FK136" i="2"/>
  <c r="FK137" i="2"/>
  <c r="FK138" i="2"/>
  <c r="FK139" i="2"/>
  <c r="FK140" i="2"/>
  <c r="FK141" i="2"/>
  <c r="FK142" i="2"/>
  <c r="FK143" i="2"/>
  <c r="FK144" i="2"/>
  <c r="FK145" i="2"/>
  <c r="FK146" i="2"/>
  <c r="FK147" i="2"/>
  <c r="FK148" i="2"/>
  <c r="FK149" i="2"/>
  <c r="FK150" i="2"/>
  <c r="FK151" i="2"/>
  <c r="FK152" i="2"/>
  <c r="FK153" i="2"/>
  <c r="FK2" i="2"/>
  <c r="EV3" i="2"/>
  <c r="EV4" i="2"/>
  <c r="EV5" i="2"/>
  <c r="EV6" i="2"/>
  <c r="EV7" i="2"/>
  <c r="EV8" i="2"/>
  <c r="EV9" i="2"/>
  <c r="EV10" i="2"/>
  <c r="EV11" i="2"/>
  <c r="EV12" i="2"/>
  <c r="EV13" i="2"/>
  <c r="EV14" i="2"/>
  <c r="EV15" i="2"/>
  <c r="EV16" i="2"/>
  <c r="EV17" i="2"/>
  <c r="EV18" i="2"/>
  <c r="EV19" i="2"/>
  <c r="EV20" i="2"/>
  <c r="EV21" i="2"/>
  <c r="EV22" i="2"/>
  <c r="EV23" i="2"/>
  <c r="EV24" i="2"/>
  <c r="EV25" i="2"/>
  <c r="EV26" i="2"/>
  <c r="EV27" i="2"/>
  <c r="EV28" i="2"/>
  <c r="EV29" i="2"/>
  <c r="EV30" i="2"/>
  <c r="EV31" i="2"/>
  <c r="EV32" i="2"/>
  <c r="EV33" i="2"/>
  <c r="EV34" i="2"/>
  <c r="EV35" i="2"/>
  <c r="EV36" i="2"/>
  <c r="EV37" i="2"/>
  <c r="EV38" i="2"/>
  <c r="EV39" i="2"/>
  <c r="EV40" i="2"/>
  <c r="EV41" i="2"/>
  <c r="EV42" i="2"/>
  <c r="EV43" i="2"/>
  <c r="EV44" i="2"/>
  <c r="EV45" i="2"/>
  <c r="EV46" i="2"/>
  <c r="EV47" i="2"/>
  <c r="EV48" i="2"/>
  <c r="EV49" i="2"/>
  <c r="EV50" i="2"/>
  <c r="EV51" i="2"/>
  <c r="EV52" i="2"/>
  <c r="EV53" i="2"/>
  <c r="EV54" i="2"/>
  <c r="EV55" i="2"/>
  <c r="EV56" i="2"/>
  <c r="EV57" i="2"/>
  <c r="EV58" i="2"/>
  <c r="EV59" i="2"/>
  <c r="EV60" i="2"/>
  <c r="EV61" i="2"/>
  <c r="EV62" i="2"/>
  <c r="EV63" i="2"/>
  <c r="EV64" i="2"/>
  <c r="EV65" i="2"/>
  <c r="EV66" i="2"/>
  <c r="EV67" i="2"/>
  <c r="EV68" i="2"/>
  <c r="EV69" i="2"/>
  <c r="EV70" i="2"/>
  <c r="EV71" i="2"/>
  <c r="EV72" i="2"/>
  <c r="EV73" i="2"/>
  <c r="EV74" i="2"/>
  <c r="EV75" i="2"/>
  <c r="EV76" i="2"/>
  <c r="EV77" i="2"/>
  <c r="EV78" i="2"/>
  <c r="EV79" i="2"/>
  <c r="EV80" i="2"/>
  <c r="EV81" i="2"/>
  <c r="EV82" i="2"/>
  <c r="EV83" i="2"/>
  <c r="EV84" i="2"/>
  <c r="EV85" i="2"/>
  <c r="EV86" i="2"/>
  <c r="EV87" i="2"/>
  <c r="EV88" i="2"/>
  <c r="EV89" i="2"/>
  <c r="EV90" i="2"/>
  <c r="EV91" i="2"/>
  <c r="EV92" i="2"/>
  <c r="EV93" i="2"/>
  <c r="EV94" i="2"/>
  <c r="EV95" i="2"/>
  <c r="EV96" i="2"/>
  <c r="EV97" i="2"/>
  <c r="EV98" i="2"/>
  <c r="EV99" i="2"/>
  <c r="EV100" i="2"/>
  <c r="EV101" i="2"/>
  <c r="EV102" i="2"/>
  <c r="EV103" i="2"/>
  <c r="EV104" i="2"/>
  <c r="EV105" i="2"/>
  <c r="EV106" i="2"/>
  <c r="EV107" i="2"/>
  <c r="EV108" i="2"/>
  <c r="EV109" i="2"/>
  <c r="EV110" i="2"/>
  <c r="EV111" i="2"/>
  <c r="EV112" i="2"/>
  <c r="EV113" i="2"/>
  <c r="EV114" i="2"/>
  <c r="EV115" i="2"/>
  <c r="EV116" i="2"/>
  <c r="EV117" i="2"/>
  <c r="EV118" i="2"/>
  <c r="EV119" i="2"/>
  <c r="EV120" i="2"/>
  <c r="EV121" i="2"/>
  <c r="EV122" i="2"/>
  <c r="EV123" i="2"/>
  <c r="EV124" i="2"/>
  <c r="EV125" i="2"/>
  <c r="EV126" i="2"/>
  <c r="EV127" i="2"/>
  <c r="EV128" i="2"/>
  <c r="EV129" i="2"/>
  <c r="EV130" i="2"/>
  <c r="EV131" i="2"/>
  <c r="EV132" i="2"/>
  <c r="EV133" i="2"/>
  <c r="EV134" i="2"/>
  <c r="EV135" i="2"/>
  <c r="EV136" i="2"/>
  <c r="EV137" i="2"/>
  <c r="EV138" i="2"/>
  <c r="EV139" i="2"/>
  <c r="EV140" i="2"/>
  <c r="EV141" i="2"/>
  <c r="EV142" i="2"/>
  <c r="EV143" i="2"/>
  <c r="EV144" i="2"/>
  <c r="EV145" i="2"/>
  <c r="EV146" i="2"/>
  <c r="EV147" i="2"/>
  <c r="EV148" i="2"/>
  <c r="EV149" i="2"/>
  <c r="EV150" i="2"/>
  <c r="EV151" i="2"/>
  <c r="EV152" i="2"/>
  <c r="EV153" i="2"/>
  <c r="EV2" i="2"/>
  <c r="EN3" i="2"/>
  <c r="EN4" i="2"/>
  <c r="EN5" i="2"/>
  <c r="EN6" i="2"/>
  <c r="EN7" i="2"/>
  <c r="EN8" i="2"/>
  <c r="EN9" i="2"/>
  <c r="EN10" i="2"/>
  <c r="EN11" i="2"/>
  <c r="EN12" i="2"/>
  <c r="EN13" i="2"/>
  <c r="EN14" i="2"/>
  <c r="EN15" i="2"/>
  <c r="EN16" i="2"/>
  <c r="EN17" i="2"/>
  <c r="EN18" i="2"/>
  <c r="EN19" i="2"/>
  <c r="EN20" i="2"/>
  <c r="EN21" i="2"/>
  <c r="EN22" i="2"/>
  <c r="EN23" i="2"/>
  <c r="EN24" i="2"/>
  <c r="EN25" i="2"/>
  <c r="EN26" i="2"/>
  <c r="EN27" i="2"/>
  <c r="EN28" i="2"/>
  <c r="EN29" i="2"/>
  <c r="EN30" i="2"/>
  <c r="EN31" i="2"/>
  <c r="EN32" i="2"/>
  <c r="EN33" i="2"/>
  <c r="EN34" i="2"/>
  <c r="EN35" i="2"/>
  <c r="EN36" i="2"/>
  <c r="EN37" i="2"/>
  <c r="EN38" i="2"/>
  <c r="EN39" i="2"/>
  <c r="EN40" i="2"/>
  <c r="EN41" i="2"/>
  <c r="EN42" i="2"/>
  <c r="EN43" i="2"/>
  <c r="EN44" i="2"/>
  <c r="EN45" i="2"/>
  <c r="EN46" i="2"/>
  <c r="EN47" i="2"/>
  <c r="EN48" i="2"/>
  <c r="EN49" i="2"/>
  <c r="EN50" i="2"/>
  <c r="EN51" i="2"/>
  <c r="EN52" i="2"/>
  <c r="EN53" i="2"/>
  <c r="EN54" i="2"/>
  <c r="EN55" i="2"/>
  <c r="EN56" i="2"/>
  <c r="EN57" i="2"/>
  <c r="EN58" i="2"/>
  <c r="EN59" i="2"/>
  <c r="EN60" i="2"/>
  <c r="EN61" i="2"/>
  <c r="EN62" i="2"/>
  <c r="EN63" i="2"/>
  <c r="EN64" i="2"/>
  <c r="EN65" i="2"/>
  <c r="EN66" i="2"/>
  <c r="EN67" i="2"/>
  <c r="EN68" i="2"/>
  <c r="EN69" i="2"/>
  <c r="EN70" i="2"/>
  <c r="EN71" i="2"/>
  <c r="EN72" i="2"/>
  <c r="EN73" i="2"/>
  <c r="EN74" i="2"/>
  <c r="EN75" i="2"/>
  <c r="EN76" i="2"/>
  <c r="EN77" i="2"/>
  <c r="EN78" i="2"/>
  <c r="EN79" i="2"/>
  <c r="EN80" i="2"/>
  <c r="EN81" i="2"/>
  <c r="EN82" i="2"/>
  <c r="EN83" i="2"/>
  <c r="EN84" i="2"/>
  <c r="EN85" i="2"/>
  <c r="EN86" i="2"/>
  <c r="EN87" i="2"/>
  <c r="EN88" i="2"/>
  <c r="EN89" i="2"/>
  <c r="EN90" i="2"/>
  <c r="EN91" i="2"/>
  <c r="EN92" i="2"/>
  <c r="EN93" i="2"/>
  <c r="EN94" i="2"/>
  <c r="EN95" i="2"/>
  <c r="EN96" i="2"/>
  <c r="EN97" i="2"/>
  <c r="EN98" i="2"/>
  <c r="EN99" i="2"/>
  <c r="EN100" i="2"/>
  <c r="EN101" i="2"/>
  <c r="EN102" i="2"/>
  <c r="EN103" i="2"/>
  <c r="EN104" i="2"/>
  <c r="EN105" i="2"/>
  <c r="EN106" i="2"/>
  <c r="EN107" i="2"/>
  <c r="EN108" i="2"/>
  <c r="EN109" i="2"/>
  <c r="EN110" i="2"/>
  <c r="EN111" i="2"/>
  <c r="EN112" i="2"/>
  <c r="EN113" i="2"/>
  <c r="EN114" i="2"/>
  <c r="EN115" i="2"/>
  <c r="EN116" i="2"/>
  <c r="EN117" i="2"/>
  <c r="EN118" i="2"/>
  <c r="EN119" i="2"/>
  <c r="EN120" i="2"/>
  <c r="EN121" i="2"/>
  <c r="EN122" i="2"/>
  <c r="EN123" i="2"/>
  <c r="EN124" i="2"/>
  <c r="EN125" i="2"/>
  <c r="EN126" i="2"/>
  <c r="EN127" i="2"/>
  <c r="EN128" i="2"/>
  <c r="EN129" i="2"/>
  <c r="EN130" i="2"/>
  <c r="EN131" i="2"/>
  <c r="EN132" i="2"/>
  <c r="EN133" i="2"/>
  <c r="EN134" i="2"/>
  <c r="EN135" i="2"/>
  <c r="EN136" i="2"/>
  <c r="EN137" i="2"/>
  <c r="EN138" i="2"/>
  <c r="EN139" i="2"/>
  <c r="EN140" i="2"/>
  <c r="EN141" i="2"/>
  <c r="EN142" i="2"/>
  <c r="EN143" i="2"/>
  <c r="EN144" i="2"/>
  <c r="EN145" i="2"/>
  <c r="EN146" i="2"/>
  <c r="EN147" i="2"/>
  <c r="EN148" i="2"/>
  <c r="EN149" i="2"/>
  <c r="EN150" i="2"/>
  <c r="EN151" i="2"/>
  <c r="EN152" i="2"/>
  <c r="EN153" i="2"/>
  <c r="EN2" i="2"/>
  <c r="DZ3" i="2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DZ53" i="2"/>
  <c r="DZ54" i="2"/>
  <c r="DZ55" i="2"/>
  <c r="DZ56" i="2"/>
  <c r="DZ57" i="2"/>
  <c r="DZ58" i="2"/>
  <c r="DZ59" i="2"/>
  <c r="DZ60" i="2"/>
  <c r="DZ61" i="2"/>
  <c r="DZ62" i="2"/>
  <c r="DZ63" i="2"/>
  <c r="DZ64" i="2"/>
  <c r="DZ65" i="2"/>
  <c r="DZ66" i="2"/>
  <c r="DZ67" i="2"/>
  <c r="DZ68" i="2"/>
  <c r="DZ69" i="2"/>
  <c r="DZ70" i="2"/>
  <c r="DZ71" i="2"/>
  <c r="DZ72" i="2"/>
  <c r="DZ73" i="2"/>
  <c r="DZ74" i="2"/>
  <c r="DZ75" i="2"/>
  <c r="DZ76" i="2"/>
  <c r="DZ77" i="2"/>
  <c r="DZ78" i="2"/>
  <c r="DZ79" i="2"/>
  <c r="DZ80" i="2"/>
  <c r="DZ81" i="2"/>
  <c r="DZ82" i="2"/>
  <c r="DZ83" i="2"/>
  <c r="DZ84" i="2"/>
  <c r="DZ85" i="2"/>
  <c r="DZ86" i="2"/>
  <c r="DZ87" i="2"/>
  <c r="DZ88" i="2"/>
  <c r="DZ89" i="2"/>
  <c r="DZ90" i="2"/>
  <c r="DZ91" i="2"/>
  <c r="DZ92" i="2"/>
  <c r="DZ93" i="2"/>
  <c r="DZ94" i="2"/>
  <c r="DZ95" i="2"/>
  <c r="DZ96" i="2"/>
  <c r="DZ97" i="2"/>
  <c r="DZ98" i="2"/>
  <c r="DZ99" i="2"/>
  <c r="DZ100" i="2"/>
  <c r="DZ101" i="2"/>
  <c r="DZ102" i="2"/>
  <c r="DZ103" i="2"/>
  <c r="DZ104" i="2"/>
  <c r="DZ105" i="2"/>
  <c r="DZ106" i="2"/>
  <c r="DZ107" i="2"/>
  <c r="DZ108" i="2"/>
  <c r="DZ109" i="2"/>
  <c r="DZ110" i="2"/>
  <c r="DZ111" i="2"/>
  <c r="DZ112" i="2"/>
  <c r="DZ113" i="2"/>
  <c r="DZ114" i="2"/>
  <c r="DZ115" i="2"/>
  <c r="DZ116" i="2"/>
  <c r="DZ117" i="2"/>
  <c r="DZ118" i="2"/>
  <c r="DZ119" i="2"/>
  <c r="DZ120" i="2"/>
  <c r="DZ121" i="2"/>
  <c r="DZ122" i="2"/>
  <c r="DZ123" i="2"/>
  <c r="DZ124" i="2"/>
  <c r="DZ125" i="2"/>
  <c r="DZ126" i="2"/>
  <c r="DZ127" i="2"/>
  <c r="DZ128" i="2"/>
  <c r="DZ129" i="2"/>
  <c r="DZ130" i="2"/>
  <c r="DZ131" i="2"/>
  <c r="DZ132" i="2"/>
  <c r="DZ133" i="2"/>
  <c r="DZ134" i="2"/>
  <c r="DZ135" i="2"/>
  <c r="DZ136" i="2"/>
  <c r="DZ137" i="2"/>
  <c r="DZ138" i="2"/>
  <c r="DZ139" i="2"/>
  <c r="DZ140" i="2"/>
  <c r="DZ141" i="2"/>
  <c r="DZ142" i="2"/>
  <c r="DZ143" i="2"/>
  <c r="DZ144" i="2"/>
  <c r="DZ145" i="2"/>
  <c r="DZ146" i="2"/>
  <c r="DZ147" i="2"/>
  <c r="DZ148" i="2"/>
  <c r="DZ149" i="2"/>
  <c r="DZ150" i="2"/>
  <c r="DZ151" i="2"/>
  <c r="DZ152" i="2"/>
  <c r="DZ153" i="2"/>
  <c r="DZ2" i="2"/>
  <c r="DR3" i="2"/>
  <c r="DR4" i="2"/>
  <c r="DR5" i="2"/>
  <c r="DR6" i="2"/>
  <c r="DR7" i="2"/>
  <c r="DR8" i="2"/>
  <c r="DR9" i="2"/>
  <c r="DR10" i="2"/>
  <c r="DR11" i="2"/>
  <c r="DR12" i="2"/>
  <c r="DR13" i="2"/>
  <c r="DR14" i="2"/>
  <c r="DR15" i="2"/>
  <c r="DR16" i="2"/>
  <c r="DR17" i="2"/>
  <c r="DR18" i="2"/>
  <c r="DR19" i="2"/>
  <c r="DR20" i="2"/>
  <c r="DR21" i="2"/>
  <c r="DR22" i="2"/>
  <c r="DR23" i="2"/>
  <c r="DR24" i="2"/>
  <c r="DR25" i="2"/>
  <c r="DR26" i="2"/>
  <c r="DR27" i="2"/>
  <c r="DR28" i="2"/>
  <c r="DR29" i="2"/>
  <c r="DR30" i="2"/>
  <c r="DR31" i="2"/>
  <c r="DR32" i="2"/>
  <c r="DR33" i="2"/>
  <c r="DR34" i="2"/>
  <c r="DR35" i="2"/>
  <c r="DR36" i="2"/>
  <c r="DR37" i="2"/>
  <c r="DR38" i="2"/>
  <c r="DR39" i="2"/>
  <c r="DR40" i="2"/>
  <c r="DR41" i="2"/>
  <c r="DR42" i="2"/>
  <c r="DR43" i="2"/>
  <c r="DR44" i="2"/>
  <c r="DR45" i="2"/>
  <c r="DR46" i="2"/>
  <c r="DR47" i="2"/>
  <c r="DR48" i="2"/>
  <c r="DR49" i="2"/>
  <c r="DR50" i="2"/>
  <c r="DR51" i="2"/>
  <c r="DR52" i="2"/>
  <c r="DR53" i="2"/>
  <c r="DR54" i="2"/>
  <c r="DR55" i="2"/>
  <c r="DR56" i="2"/>
  <c r="DR57" i="2"/>
  <c r="DR58" i="2"/>
  <c r="DR59" i="2"/>
  <c r="DR60" i="2"/>
  <c r="DR61" i="2"/>
  <c r="DR62" i="2"/>
  <c r="DR63" i="2"/>
  <c r="DR64" i="2"/>
  <c r="DR65" i="2"/>
  <c r="DR66" i="2"/>
  <c r="DR67" i="2"/>
  <c r="DR68" i="2"/>
  <c r="DR69" i="2"/>
  <c r="DR70" i="2"/>
  <c r="DR71" i="2"/>
  <c r="DR72" i="2"/>
  <c r="DR73" i="2"/>
  <c r="DR74" i="2"/>
  <c r="DR75" i="2"/>
  <c r="DR76" i="2"/>
  <c r="DR77" i="2"/>
  <c r="DR78" i="2"/>
  <c r="DR79" i="2"/>
  <c r="DR80" i="2"/>
  <c r="DR81" i="2"/>
  <c r="DR82" i="2"/>
  <c r="DR83" i="2"/>
  <c r="DR84" i="2"/>
  <c r="DR85" i="2"/>
  <c r="DR86" i="2"/>
  <c r="DR87" i="2"/>
  <c r="DR88" i="2"/>
  <c r="DR89" i="2"/>
  <c r="DR90" i="2"/>
  <c r="DR91" i="2"/>
  <c r="DR92" i="2"/>
  <c r="DR93" i="2"/>
  <c r="DR94" i="2"/>
  <c r="DR95" i="2"/>
  <c r="DR96" i="2"/>
  <c r="DR97" i="2"/>
  <c r="DR98" i="2"/>
  <c r="DR99" i="2"/>
  <c r="DR100" i="2"/>
  <c r="DR101" i="2"/>
  <c r="DR102" i="2"/>
  <c r="DR103" i="2"/>
  <c r="DR104" i="2"/>
  <c r="DR105" i="2"/>
  <c r="DR106" i="2"/>
  <c r="DR107" i="2"/>
  <c r="DR108" i="2"/>
  <c r="DR109" i="2"/>
  <c r="DR110" i="2"/>
  <c r="DR111" i="2"/>
  <c r="DR112" i="2"/>
  <c r="DR113" i="2"/>
  <c r="DR114" i="2"/>
  <c r="DR115" i="2"/>
  <c r="DR116" i="2"/>
  <c r="DR117" i="2"/>
  <c r="DR118" i="2"/>
  <c r="DR119" i="2"/>
  <c r="DR120" i="2"/>
  <c r="DR121" i="2"/>
  <c r="DR122" i="2"/>
  <c r="DR123" i="2"/>
  <c r="DR124" i="2"/>
  <c r="DR125" i="2"/>
  <c r="DR126" i="2"/>
  <c r="DR127" i="2"/>
  <c r="DR128" i="2"/>
  <c r="DR129" i="2"/>
  <c r="DR130" i="2"/>
  <c r="DR131" i="2"/>
  <c r="DR132" i="2"/>
  <c r="DR133" i="2"/>
  <c r="DR134" i="2"/>
  <c r="DR135" i="2"/>
  <c r="DR136" i="2"/>
  <c r="DR137" i="2"/>
  <c r="DR138" i="2"/>
  <c r="DR139" i="2"/>
  <c r="DR140" i="2"/>
  <c r="DR141" i="2"/>
  <c r="DR142" i="2"/>
  <c r="DR143" i="2"/>
  <c r="DR144" i="2"/>
  <c r="DR145" i="2"/>
  <c r="DR146" i="2"/>
  <c r="DR147" i="2"/>
  <c r="DR148" i="2"/>
  <c r="DR149" i="2"/>
  <c r="DR150" i="2"/>
  <c r="DR151" i="2"/>
  <c r="DR152" i="2"/>
  <c r="DR153" i="2"/>
  <c r="DR2" i="2"/>
  <c r="EF3" i="2"/>
  <c r="EF4" i="2"/>
  <c r="EF5" i="2"/>
  <c r="EF6" i="2"/>
  <c r="EF7" i="2"/>
  <c r="EF8" i="2"/>
  <c r="EF9" i="2"/>
  <c r="EF10" i="2"/>
  <c r="EF11" i="2"/>
  <c r="EF12" i="2"/>
  <c r="EF13" i="2"/>
  <c r="EF14" i="2"/>
  <c r="EF15" i="2"/>
  <c r="EF16" i="2"/>
  <c r="EF17" i="2"/>
  <c r="EF18" i="2"/>
  <c r="EF19" i="2"/>
  <c r="EF20" i="2"/>
  <c r="EF21" i="2"/>
  <c r="EF22" i="2"/>
  <c r="EF23" i="2"/>
  <c r="EF24" i="2"/>
  <c r="EF25" i="2"/>
  <c r="EF26" i="2"/>
  <c r="EF27" i="2"/>
  <c r="EF28" i="2"/>
  <c r="EF29" i="2"/>
  <c r="EF30" i="2"/>
  <c r="EF31" i="2"/>
  <c r="EF32" i="2"/>
  <c r="EF33" i="2"/>
  <c r="EF34" i="2"/>
  <c r="EF35" i="2"/>
  <c r="EF36" i="2"/>
  <c r="EF37" i="2"/>
  <c r="EF38" i="2"/>
  <c r="EF39" i="2"/>
  <c r="EF40" i="2"/>
  <c r="EF41" i="2"/>
  <c r="EF42" i="2"/>
  <c r="EF43" i="2"/>
  <c r="EF44" i="2"/>
  <c r="EF45" i="2"/>
  <c r="EF46" i="2"/>
  <c r="EF47" i="2"/>
  <c r="EF48" i="2"/>
  <c r="EF49" i="2"/>
  <c r="EF50" i="2"/>
  <c r="EF51" i="2"/>
  <c r="EF52" i="2"/>
  <c r="EF53" i="2"/>
  <c r="EF54" i="2"/>
  <c r="EF55" i="2"/>
  <c r="EF56" i="2"/>
  <c r="EF57" i="2"/>
  <c r="EF58" i="2"/>
  <c r="EF59" i="2"/>
  <c r="EF60" i="2"/>
  <c r="EF61" i="2"/>
  <c r="EF62" i="2"/>
  <c r="EF63" i="2"/>
  <c r="EF64" i="2"/>
  <c r="EF65" i="2"/>
  <c r="EF66" i="2"/>
  <c r="EF67" i="2"/>
  <c r="EF68" i="2"/>
  <c r="EF69" i="2"/>
  <c r="EF70" i="2"/>
  <c r="EF71" i="2"/>
  <c r="EF72" i="2"/>
  <c r="EF73" i="2"/>
  <c r="EF74" i="2"/>
  <c r="EF75" i="2"/>
  <c r="EF76" i="2"/>
  <c r="EF77" i="2"/>
  <c r="EF78" i="2"/>
  <c r="EF79" i="2"/>
  <c r="EF80" i="2"/>
  <c r="EF81" i="2"/>
  <c r="EF82" i="2"/>
  <c r="EF83" i="2"/>
  <c r="EF84" i="2"/>
  <c r="EF85" i="2"/>
  <c r="EF86" i="2"/>
  <c r="EF87" i="2"/>
  <c r="EF88" i="2"/>
  <c r="EF89" i="2"/>
  <c r="EF90" i="2"/>
  <c r="EF91" i="2"/>
  <c r="EF92" i="2"/>
  <c r="EF93" i="2"/>
  <c r="EF94" i="2"/>
  <c r="EF95" i="2"/>
  <c r="EF96" i="2"/>
  <c r="EF97" i="2"/>
  <c r="EF98" i="2"/>
  <c r="EF99" i="2"/>
  <c r="EF100" i="2"/>
  <c r="EF101" i="2"/>
  <c r="EF102" i="2"/>
  <c r="EF103" i="2"/>
  <c r="EF104" i="2"/>
  <c r="EF105" i="2"/>
  <c r="EF106" i="2"/>
  <c r="EF107" i="2"/>
  <c r="EF108" i="2"/>
  <c r="EF109" i="2"/>
  <c r="EF110" i="2"/>
  <c r="EF111" i="2"/>
  <c r="EF112" i="2"/>
  <c r="EF113" i="2"/>
  <c r="EF114" i="2"/>
  <c r="EF115" i="2"/>
  <c r="EF116" i="2"/>
  <c r="EF117" i="2"/>
  <c r="EF118" i="2"/>
  <c r="EF119" i="2"/>
  <c r="EF120" i="2"/>
  <c r="EF121" i="2"/>
  <c r="EF122" i="2"/>
  <c r="EF123" i="2"/>
  <c r="EF124" i="2"/>
  <c r="EF125" i="2"/>
  <c r="EF126" i="2"/>
  <c r="EF127" i="2"/>
  <c r="EF128" i="2"/>
  <c r="EF129" i="2"/>
  <c r="EF130" i="2"/>
  <c r="EF131" i="2"/>
  <c r="EF132" i="2"/>
  <c r="EF133" i="2"/>
  <c r="EF134" i="2"/>
  <c r="EF135" i="2"/>
  <c r="EF136" i="2"/>
  <c r="EF137" i="2"/>
  <c r="EF138" i="2"/>
  <c r="EF139" i="2"/>
  <c r="EF140" i="2"/>
  <c r="EF141" i="2"/>
  <c r="EF142" i="2"/>
  <c r="EF143" i="2"/>
  <c r="EF144" i="2"/>
  <c r="EF145" i="2"/>
  <c r="EF146" i="2"/>
  <c r="EF147" i="2"/>
  <c r="EF148" i="2"/>
  <c r="EF149" i="2"/>
  <c r="EF150" i="2"/>
  <c r="EF151" i="2"/>
  <c r="EF152" i="2"/>
  <c r="EF153" i="2"/>
  <c r="EF2" i="2"/>
  <c r="CF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F80" i="2"/>
  <c r="CF81" i="2"/>
  <c r="CF82" i="2"/>
  <c r="CF83" i="2"/>
  <c r="CF84" i="2"/>
  <c r="CF85" i="2"/>
  <c r="CF86" i="2"/>
  <c r="CF87" i="2"/>
  <c r="CF88" i="2"/>
  <c r="CF89" i="2"/>
  <c r="CF90" i="2"/>
  <c r="CF91" i="2"/>
  <c r="CF92" i="2"/>
  <c r="CF93" i="2"/>
  <c r="CF94" i="2"/>
  <c r="CF95" i="2"/>
  <c r="CF96" i="2"/>
  <c r="CF97" i="2"/>
  <c r="CF98" i="2"/>
  <c r="CF99" i="2"/>
  <c r="CF100" i="2"/>
  <c r="CF101" i="2"/>
  <c r="CF102" i="2"/>
  <c r="CF103" i="2"/>
  <c r="CF104" i="2"/>
  <c r="CF105" i="2"/>
  <c r="CF106" i="2"/>
  <c r="CF107" i="2"/>
  <c r="CF108" i="2"/>
  <c r="CF109" i="2"/>
  <c r="CF110" i="2"/>
  <c r="CF111" i="2"/>
  <c r="CF112" i="2"/>
  <c r="CF113" i="2"/>
  <c r="CF114" i="2"/>
  <c r="CF115" i="2"/>
  <c r="CF116" i="2"/>
  <c r="CF117" i="2"/>
  <c r="CF118" i="2"/>
  <c r="CF119" i="2"/>
  <c r="CF120" i="2"/>
  <c r="CF121" i="2"/>
  <c r="CF122" i="2"/>
  <c r="CF123" i="2"/>
  <c r="CF124" i="2"/>
  <c r="CF125" i="2"/>
  <c r="CF126" i="2"/>
  <c r="CF127" i="2"/>
  <c r="CF128" i="2"/>
  <c r="CF129" i="2"/>
  <c r="CF130" i="2"/>
  <c r="CF131" i="2"/>
  <c r="CF132" i="2"/>
  <c r="CF133" i="2"/>
  <c r="CF134" i="2"/>
  <c r="CF135" i="2"/>
  <c r="CF136" i="2"/>
  <c r="CF137" i="2"/>
  <c r="CF138" i="2"/>
  <c r="CF139" i="2"/>
  <c r="CF140" i="2"/>
  <c r="CF141" i="2"/>
  <c r="CF142" i="2"/>
  <c r="CF143" i="2"/>
  <c r="CF144" i="2"/>
  <c r="CF145" i="2"/>
  <c r="CF146" i="2"/>
  <c r="CF147" i="2"/>
  <c r="CF148" i="2"/>
  <c r="CF149" i="2"/>
  <c r="CF150" i="2"/>
  <c r="CF151" i="2"/>
  <c r="CF152" i="2"/>
  <c r="CF153" i="2"/>
  <c r="CF2" i="2"/>
  <c r="CY75" i="2"/>
  <c r="CW75" i="2"/>
  <c r="CK75" i="2"/>
  <c r="CI75" i="2"/>
  <c r="BA43" i="2"/>
  <c r="BE33" i="2"/>
  <c r="AZ33" i="2"/>
  <c r="BC31" i="2"/>
  <c r="AZ31" i="2"/>
  <c r="CW30" i="2"/>
  <c r="DB30" i="2" s="1"/>
  <c r="DC30" i="2" s="1"/>
  <c r="CI30" i="2"/>
  <c r="DB75" i="2" l="1"/>
  <c r="DC75" i="2" s="1"/>
</calcChain>
</file>

<file path=xl/sharedStrings.xml><?xml version="1.0" encoding="utf-8"?>
<sst xmlns="http://schemas.openxmlformats.org/spreadsheetml/2006/main" count="1656" uniqueCount="585">
  <si>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</si>
  <si>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</si>
  <si>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</si>
  <si>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</si>
  <si>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</si>
  <si>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</si>
  <si>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</si>
  <si>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</si>
  <si>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</si>
  <si>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</si>
  <si>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</si>
  <si>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</si>
  <si>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</si>
  <si>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</si>
  <si>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</si>
  <si>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</si>
  <si>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p181</t>
  </si>
  <si>
    <t>p182</t>
  </si>
  <si>
    <t>p183</t>
  </si>
  <si>
    <t>p184</t>
  </si>
  <si>
    <t>p185</t>
  </si>
  <si>
    <t>p186</t>
  </si>
  <si>
    <t>p187</t>
  </si>
  <si>
    <t>p188</t>
  </si>
  <si>
    <t>p19</t>
  </si>
  <si>
    <t>p20</t>
  </si>
  <si>
    <t>p21</t>
  </si>
  <si>
    <t>p22</t>
  </si>
  <si>
    <t>p2211</t>
  </si>
  <si>
    <t>p2212</t>
  </si>
  <si>
    <t>p2213</t>
  </si>
  <si>
    <t>p222</t>
  </si>
  <si>
    <t>p224</t>
  </si>
  <si>
    <t>p225</t>
  </si>
  <si>
    <t>p226</t>
  </si>
  <si>
    <t>p227</t>
  </si>
  <si>
    <t>p231</t>
  </si>
  <si>
    <t>p232</t>
  </si>
  <si>
    <t>p233</t>
  </si>
  <si>
    <t>p234</t>
  </si>
  <si>
    <t>p235</t>
  </si>
  <si>
    <t>p236</t>
  </si>
  <si>
    <t>p241</t>
  </si>
  <si>
    <t>p2411</t>
  </si>
  <si>
    <t>p2412</t>
  </si>
  <si>
    <t>p2413</t>
  </si>
  <si>
    <t>p2414</t>
  </si>
  <si>
    <t>p2415</t>
  </si>
  <si>
    <t>p2416</t>
  </si>
  <si>
    <t>p242</t>
  </si>
  <si>
    <t>p2421</t>
  </si>
  <si>
    <t>p2422</t>
  </si>
  <si>
    <t>p2423</t>
  </si>
  <si>
    <t>p2424</t>
  </si>
  <si>
    <t>p2425</t>
  </si>
  <si>
    <t>p2426</t>
  </si>
  <si>
    <t>p243</t>
  </si>
  <si>
    <t>p2431</t>
  </si>
  <si>
    <t>p2432</t>
  </si>
  <si>
    <t>p2433</t>
  </si>
  <si>
    <t>p2434</t>
  </si>
  <si>
    <t>p2435</t>
  </si>
  <si>
    <t>p2436</t>
  </si>
  <si>
    <t>p244</t>
  </si>
  <si>
    <t>p2441</t>
  </si>
  <si>
    <t>p2442</t>
  </si>
  <si>
    <t>p2443</t>
  </si>
  <si>
    <t>p2444</t>
  </si>
  <si>
    <t>p2445</t>
  </si>
  <si>
    <t>p2446</t>
  </si>
  <si>
    <t>p245</t>
  </si>
  <si>
    <t>p2451</t>
  </si>
  <si>
    <t>p2452</t>
  </si>
  <si>
    <t>p2453</t>
  </si>
  <si>
    <t>p2454</t>
  </si>
  <si>
    <t>p2455</t>
  </si>
  <si>
    <t>p2456</t>
  </si>
  <si>
    <t>p246</t>
  </si>
  <si>
    <t>p2461</t>
  </si>
  <si>
    <t>p2462</t>
  </si>
  <si>
    <t>p2463</t>
  </si>
  <si>
    <t>p2464</t>
  </si>
  <si>
    <t>p2465</t>
  </si>
  <si>
    <t>p2466</t>
  </si>
  <si>
    <t>p247</t>
  </si>
  <si>
    <t>p2471</t>
  </si>
  <si>
    <t>p2472</t>
  </si>
  <si>
    <t>p2473</t>
  </si>
  <si>
    <t>p2474</t>
  </si>
  <si>
    <t>p2475</t>
  </si>
  <si>
    <t>p2476</t>
  </si>
  <si>
    <t>p248</t>
  </si>
  <si>
    <t>p2481</t>
  </si>
  <si>
    <t>p2482</t>
  </si>
  <si>
    <t>p2483</t>
  </si>
  <si>
    <t>p251</t>
  </si>
  <si>
    <t>p2511</t>
  </si>
  <si>
    <t>p2512</t>
  </si>
  <si>
    <t>p2513</t>
  </si>
  <si>
    <t>p2514</t>
  </si>
  <si>
    <t>p2515</t>
  </si>
  <si>
    <t>p2516</t>
  </si>
  <si>
    <t>p252</t>
  </si>
  <si>
    <t>p2521</t>
  </si>
  <si>
    <t>p2522</t>
  </si>
  <si>
    <t>p2523</t>
  </si>
  <si>
    <t>p2524</t>
  </si>
  <si>
    <t>p2525</t>
  </si>
  <si>
    <t>p2526</t>
  </si>
  <si>
    <t>p253</t>
  </si>
  <si>
    <t>p2531</t>
  </si>
  <si>
    <t>p2532</t>
  </si>
  <si>
    <t>p2533</t>
  </si>
  <si>
    <t>p2534</t>
  </si>
  <si>
    <t>p2535</t>
  </si>
  <si>
    <t>p2536</t>
  </si>
  <si>
    <t>p254</t>
  </si>
  <si>
    <t>p2541</t>
  </si>
  <si>
    <t>p2542</t>
  </si>
  <si>
    <t>p2543</t>
  </si>
  <si>
    <t>p2544</t>
  </si>
  <si>
    <t>p2545</t>
  </si>
  <si>
    <t>p2546</t>
  </si>
  <si>
    <t>p255</t>
  </si>
  <si>
    <t>p2551</t>
  </si>
  <si>
    <t>p2552</t>
  </si>
  <si>
    <t>p2553</t>
  </si>
  <si>
    <t>p2554</t>
  </si>
  <si>
    <t>p2555</t>
  </si>
  <si>
    <t>p2556</t>
  </si>
  <si>
    <t>p256</t>
  </si>
  <si>
    <t>p2561</t>
  </si>
  <si>
    <t>p2562</t>
  </si>
  <si>
    <t>p2563</t>
  </si>
  <si>
    <t>p2564</t>
  </si>
  <si>
    <t>p2565</t>
  </si>
  <si>
    <t>p2566</t>
  </si>
  <si>
    <t>p257</t>
  </si>
  <si>
    <t>p2571</t>
  </si>
  <si>
    <t>p2572</t>
  </si>
  <si>
    <t>p2573</t>
  </si>
  <si>
    <t>p2574</t>
  </si>
  <si>
    <t>p2575</t>
  </si>
  <si>
    <t>p2576</t>
  </si>
  <si>
    <t>p261</t>
  </si>
  <si>
    <t>p2611</t>
  </si>
  <si>
    <t>p2612</t>
  </si>
  <si>
    <t>p2613</t>
  </si>
  <si>
    <t>p2614</t>
  </si>
  <si>
    <t>p2615</t>
  </si>
  <si>
    <t>p2616</t>
  </si>
  <si>
    <t>p262</t>
  </si>
  <si>
    <t>p2621</t>
  </si>
  <si>
    <t>p2622</t>
  </si>
  <si>
    <t>p2623</t>
  </si>
  <si>
    <t>p2624</t>
  </si>
  <si>
    <t>p2625</t>
  </si>
  <si>
    <t>p2626</t>
  </si>
  <si>
    <t>p263</t>
  </si>
  <si>
    <t>p2631</t>
  </si>
  <si>
    <t>p2632</t>
  </si>
  <si>
    <t>p2633</t>
  </si>
  <si>
    <t>p2634</t>
  </si>
  <si>
    <t>p2635</t>
  </si>
  <si>
    <t>p2636</t>
  </si>
  <si>
    <t>p264</t>
  </si>
  <si>
    <t>p2641</t>
  </si>
  <si>
    <t>p2642</t>
  </si>
  <si>
    <t>p2643</t>
  </si>
  <si>
    <t>p2644</t>
  </si>
  <si>
    <t>p2645</t>
  </si>
  <si>
    <t>p2646</t>
  </si>
  <si>
    <t>p265</t>
  </si>
  <si>
    <t>p2651</t>
  </si>
  <si>
    <t>p2652</t>
  </si>
  <si>
    <t>p2653</t>
  </si>
  <si>
    <t>p2654</t>
  </si>
  <si>
    <t>p2655</t>
  </si>
  <si>
    <t>p2656</t>
  </si>
  <si>
    <t>p266</t>
  </si>
  <si>
    <t>p2661</t>
  </si>
  <si>
    <t>p2662</t>
  </si>
  <si>
    <t>p2663</t>
  </si>
  <si>
    <t>p2664</t>
  </si>
  <si>
    <t>p2665</t>
  </si>
  <si>
    <t>p2666</t>
  </si>
  <si>
    <t>p267</t>
  </si>
  <si>
    <t>p2671</t>
  </si>
  <si>
    <t>p2672</t>
  </si>
  <si>
    <t>p2673</t>
  </si>
  <si>
    <t>p2674</t>
  </si>
  <si>
    <t>p2675</t>
  </si>
  <si>
    <t>p2676</t>
  </si>
  <si>
    <t>Huamalies</t>
  </si>
  <si>
    <t>Monzón</t>
  </si>
  <si>
    <t>San Cristobal</t>
  </si>
  <si>
    <t>Tingo Chico</t>
  </si>
  <si>
    <t>Pensión 65</t>
  </si>
  <si>
    <t>p2221A</t>
  </si>
  <si>
    <t>p2222A</t>
  </si>
  <si>
    <t>p2221P</t>
  </si>
  <si>
    <t>p2222P</t>
  </si>
  <si>
    <t>p2221F</t>
  </si>
  <si>
    <t>p2222F</t>
  </si>
  <si>
    <t>p223AP</t>
  </si>
  <si>
    <t>p223PP</t>
  </si>
  <si>
    <t>p223FP</t>
  </si>
  <si>
    <t>p225_1</t>
  </si>
  <si>
    <t>p225_2</t>
  </si>
  <si>
    <t>p225_3</t>
  </si>
  <si>
    <t>Plátano</t>
  </si>
  <si>
    <t>Coca</t>
  </si>
  <si>
    <t>p226_1</t>
  </si>
  <si>
    <t>p226_2</t>
  </si>
  <si>
    <t>p226_3</t>
  </si>
  <si>
    <t>p227_1</t>
  </si>
  <si>
    <t>p227_2</t>
  </si>
  <si>
    <t>p227_3</t>
  </si>
  <si>
    <t>p2484</t>
  </si>
  <si>
    <t>Cuyacu</t>
  </si>
  <si>
    <t>Programa Juntos</t>
  </si>
  <si>
    <t>Cuy</t>
  </si>
  <si>
    <t>Cashapampa</t>
  </si>
  <si>
    <t>Rinconada</t>
  </si>
  <si>
    <t>Café</t>
  </si>
  <si>
    <t>Cacao</t>
  </si>
  <si>
    <t>Agro Banco</t>
  </si>
  <si>
    <t>Nueva Selva Alta</t>
  </si>
  <si>
    <t>Control de plagas y enfermedades</t>
  </si>
  <si>
    <t>Amistad Alta</t>
  </si>
  <si>
    <t>Yuca</t>
  </si>
  <si>
    <t>Cultivo asociado</t>
  </si>
  <si>
    <t>Yanacandado</t>
  </si>
  <si>
    <t>Pino</t>
  </si>
  <si>
    <t>Dos de Mayo</t>
  </si>
  <si>
    <t>Marias</t>
  </si>
  <si>
    <t>Chipaquillo</t>
  </si>
  <si>
    <t>Huamalíes</t>
  </si>
  <si>
    <t>Despulpadora, semillas</t>
  </si>
  <si>
    <t>Agua Blanca</t>
  </si>
  <si>
    <t>Asistencia técnica</t>
  </si>
  <si>
    <t>Mohena</t>
  </si>
  <si>
    <t>Qali Warma</t>
  </si>
  <si>
    <t>Banco Agrario</t>
  </si>
  <si>
    <t>Macora</t>
  </si>
  <si>
    <t>Aplicación de enmiendas y compost</t>
  </si>
  <si>
    <t>Catalan</t>
  </si>
  <si>
    <t>Despunte, raleo de sombra</t>
  </si>
  <si>
    <t>Cultivo de madera</t>
  </si>
  <si>
    <t>Proceso de fermentación</t>
  </si>
  <si>
    <t>Cultivo de malezas</t>
  </si>
  <si>
    <t>Pesticidas</t>
  </si>
  <si>
    <t>Pituca</t>
  </si>
  <si>
    <t>Vívero</t>
  </si>
  <si>
    <t>Manejo de sombra</t>
  </si>
  <si>
    <t>Monte Grande</t>
  </si>
  <si>
    <t>Cedro</t>
  </si>
  <si>
    <t>Vaso de Leche</t>
  </si>
  <si>
    <t>Bosque</t>
  </si>
  <si>
    <t>Milagros</t>
  </si>
  <si>
    <t>Maíz</t>
  </si>
  <si>
    <t>Cosecha, Secado, Lavado</t>
  </si>
  <si>
    <t>Manejo de vivero</t>
  </si>
  <si>
    <t>Corvinilla Alta</t>
  </si>
  <si>
    <t>Peces</t>
  </si>
  <si>
    <t>Tornillo</t>
  </si>
  <si>
    <t>Manejo de compostaje de pulpa de café</t>
  </si>
  <si>
    <t>Rondos</t>
  </si>
  <si>
    <t>Selva Alta</t>
  </si>
  <si>
    <t>Nueva Dheli</t>
  </si>
  <si>
    <t>Aplicación de fertilizantes tipo DRENCH</t>
  </si>
  <si>
    <t>Corvinilla Baja</t>
  </si>
  <si>
    <t>Producción de abono de pulpa</t>
  </si>
  <si>
    <t>Entrega de insumo</t>
  </si>
  <si>
    <t>Maravillas</t>
  </si>
  <si>
    <t>Ocho de agosto</t>
  </si>
  <si>
    <t>Poda selectiva, control de malezas</t>
  </si>
  <si>
    <t>Chipaco</t>
  </si>
  <si>
    <t>Despulpadora</t>
  </si>
  <si>
    <t>Programa Juntos, Qali Warma</t>
  </si>
  <si>
    <t>Control de maleza y poda</t>
  </si>
  <si>
    <t>Entrega de herramientas</t>
  </si>
  <si>
    <t>Gallinas</t>
  </si>
  <si>
    <t>Cerdos</t>
  </si>
  <si>
    <t>AgroBanco</t>
  </si>
  <si>
    <t>Alto Perú</t>
  </si>
  <si>
    <t>Sachavaca</t>
  </si>
  <si>
    <t>control de maleza y manejo integral de plagas y enfermedaes</t>
  </si>
  <si>
    <t>Nueva Esperanza</t>
  </si>
  <si>
    <t>Pitajaya</t>
  </si>
  <si>
    <t>Tazo Grande</t>
  </si>
  <si>
    <t>Patos</t>
  </si>
  <si>
    <t>Palo Wimba</t>
  </si>
  <si>
    <t>Madera</t>
  </si>
  <si>
    <t>Poda de renovación</t>
  </si>
  <si>
    <t>Cachicoto</t>
  </si>
  <si>
    <t>Santa Rosa de Chacrita</t>
  </si>
  <si>
    <t>Almendra</t>
  </si>
  <si>
    <t>Rio Espino</t>
  </si>
  <si>
    <t>Matapalo</t>
  </si>
  <si>
    <t>Camote</t>
  </si>
  <si>
    <t>Plantaciones forestales</t>
  </si>
  <si>
    <t>Cítrico</t>
  </si>
  <si>
    <t>Control de maleza</t>
  </si>
  <si>
    <t>Marías</t>
  </si>
  <si>
    <t>p223AE</t>
  </si>
  <si>
    <t>p223FE</t>
  </si>
  <si>
    <t>p223PE</t>
  </si>
  <si>
    <t>Qali Warma y Vaso de Leche</t>
  </si>
  <si>
    <t>Programa Juntos y Vaso de Leche</t>
  </si>
  <si>
    <t>Programa Juntos y Qali Warma</t>
  </si>
  <si>
    <t>Qali Warma y Pensión 65</t>
  </si>
  <si>
    <t>Variedad</t>
  </si>
  <si>
    <t>Diversificación</t>
  </si>
  <si>
    <t>Asociatividad</t>
  </si>
  <si>
    <t>EdadC</t>
  </si>
  <si>
    <t>Rotación</t>
  </si>
  <si>
    <t>Suelo</t>
  </si>
  <si>
    <t>Semillas</t>
  </si>
  <si>
    <t>AboFer</t>
  </si>
  <si>
    <t>Orgánica</t>
  </si>
  <si>
    <t>Prácticas</t>
  </si>
  <si>
    <t>Educación1</t>
  </si>
  <si>
    <t>Educación2</t>
  </si>
  <si>
    <t>Rendimiento</t>
  </si>
  <si>
    <t>NiRen</t>
  </si>
  <si>
    <t>Crédito</t>
  </si>
  <si>
    <t>Capital</t>
  </si>
  <si>
    <t>Seguro</t>
  </si>
  <si>
    <t>ExPrecio</t>
  </si>
  <si>
    <t>Precio</t>
  </si>
  <si>
    <t>ConBioh</t>
  </si>
  <si>
    <t>ConCulh</t>
  </si>
  <si>
    <t>ConFih</t>
  </si>
  <si>
    <t>ConQuih</t>
  </si>
  <si>
    <t>ConEtoh</t>
  </si>
  <si>
    <t>Respondent</t>
  </si>
  <si>
    <t>Province</t>
  </si>
  <si>
    <t>District</t>
  </si>
  <si>
    <t>Town/City</t>
  </si>
  <si>
    <t>Hamlet</t>
  </si>
  <si>
    <t>Low</t>
  </si>
  <si>
    <t>Medium</t>
  </si>
  <si>
    <t>High</t>
  </si>
  <si>
    <t>Age</t>
  </si>
  <si>
    <t>Sex</t>
  </si>
  <si>
    <t>Fountain</t>
  </si>
  <si>
    <t>label variable Survey "Respondent"</t>
  </si>
  <si>
    <t>label variable Province "Geographic location of the property (coffee cultivation) by province"</t>
  </si>
  <si>
    <t>label variable District "Geographic location of the property (coffee cultivation) by district"</t>
  </si>
  <si>
    <t>label variable Town "Geographic location of the property (coffee cultivation) by town"</t>
  </si>
  <si>
    <t>label variable Hamlet "Geographic location of the property (coffee cultivation) by hamlet"</t>
  </si>
  <si>
    <t>label variable Low "Low Altitude"</t>
  </si>
  <si>
    <t>label variable Medium "Medium Altitude"</t>
  </si>
  <si>
    <t>label variable High "High Altitude"</t>
  </si>
  <si>
    <t>label variable Age "Respondent's age in completed years"</t>
  </si>
  <si>
    <t>label variable Sex "Respondent's sex"</t>
  </si>
  <si>
    <t>label variable p3 "Are you the head of household?"</t>
  </si>
  <si>
    <t>label variable p4 "What is your relationship to the head of household?"</t>
  </si>
  <si>
    <t>label variable p5 "Have you lived elsewhere?"</t>
  </si>
  <si>
    <t>label variable p6 "Is the place you come from a rural area?"</t>
  </si>
  <si>
    <t>label variable p7 "How many people are in your household?"</t>
  </si>
  <si>
    <t>label variable p8 "How many years have you lived in this location?"</t>
  </si>
  <si>
    <t>label variable p9 "Your average monthly income is (soles)"</t>
  </si>
  <si>
    <t>label variable p10 "Are you currently a beneficiary of any social program?"</t>
  </si>
  <si>
    <t>label variable p11 "What is the name of the social program(s) you are a beneficiary of?"</t>
  </si>
  <si>
    <t>label variable p12 "For coffee cultivation, have you received any fertilizer subsidies?"</t>
  </si>
  <si>
    <t>label variable p13 "How many kilograms of fertilizer have you received a subsidy for?"</t>
  </si>
  <si>
    <t>label variable p14 "Have you received any other assistance from a public and/or private institution?"</t>
  </si>
  <si>
    <t>label variable p15 "What was the main assistance?"</t>
  </si>
  <si>
    <t>label variable p16 "What is the highest level of education you completed?"</t>
  </si>
  <si>
    <t>label variable Education1 "Primary Education Level"</t>
  </si>
  <si>
    <t>label variable Education2 "Secondary Education Level"</t>
  </si>
  <si>
    <t>label variable p17 "How many years did you study?"</t>
  </si>
  <si>
    <t>label variable p18 "Indicate the basic and public services your household has access to"</t>
  </si>
  <si>
    <t>label variable p181 "Drinking water"</t>
  </si>
  <si>
    <t>label variable p182 "Sewage"</t>
  </si>
  <si>
    <t>label variable p183 "Electricity"</t>
  </si>
  <si>
    <t>label variable p184 "Health"</t>
  </si>
  <si>
    <t>label variable p185 "Education for children"</t>
  </si>
  <si>
    <t>label variable p186 "Transportation infrastructure"</t>
  </si>
  <si>
    <t>label variable p187 "Telecommunications"</t>
  </si>
  <si>
    <t>label variable p188 "Other" /*Specify according to the respondents' answers*/</t>
  </si>
  <si>
    <t>label variable p19 "Have you had any experience associating with other farmers or belonging to a coffee cooperative?"</t>
  </si>
  <si>
    <t>label variable p20 "Do you have sufficient experience in coffee cultivation?"</t>
  </si>
  <si>
    <t>label variable p21 "How many years of experience do you have?"</t>
  </si>
  <si>
    <t>label variable p22 "Agricultural activity (during the last 3 years)"</t>
  </si>
  <si>
    <t>label variable p2211 "Agriculture"</t>
  </si>
  <si>
    <t>label variable p2212 "Livestock"</t>
  </si>
  <si>
    <t>label variable p2213 "Forestry"</t>
  </si>
  <si>
    <t>label variable p222 "Form of implementation"</t>
  </si>
  <si>
    <t>label variable p2221A "Permanent"</t>
  </si>
  <si>
    <t>label variable p2222A "Temporary"</t>
  </si>
  <si>
    <t>label variable p2221P "Permanent"</t>
  </si>
  <si>
    <t>label variable p2222P "Temporary"</t>
  </si>
  <si>
    <t>label variable p2221F "Permanent"</t>
  </si>
  <si>
    <t>label variable p2222F "Temporary"</t>
  </si>
  <si>
    <t>label variable p223AP "Permanent agricultural area (ha)"</t>
  </si>
  <si>
    <t>label variable p223AE "Temporary agricultural area (ha)"</t>
  </si>
  <si>
    <t>label variable p223PP "Permanent livestock area (ha)"</t>
  </si>
  <si>
    <t>label variable p223PE "Area (ha) "Occasional livestock farming"</t>
  </si>
  <si>
    <t>label p223FP "Permanent forest area (ha)"</t>
  </si>
  <si>
    <t>label p223FE "Occasional forest area (ha)"</t>
  </si>
  <si>
    <t>label p224 "Unused or reserve land"</t>
  </si>
  <si>
    <t>label p225 "Do you have the three main agricultural crops?"</t>
  </si>
  <si>
    <t>label p225_1 "First crop"</t>
  </si>
  <si>
    <t>label p225_2 "Second crop"</t>
  </si>
  <si>
    <t>label p225_3 "Third crop"</t>
  </si>
  <si>
    <t>label p226 "Do you have three main livestock activities?"</t>
  </si>
  <si>
    <t>label p226_1 "First activity"</t>
  </si>
  <si>
    <t>label p226_2 "Second activity"</t>
  </si>
  <si>
    <t>label p226_3 "Third activity"</t>
  </si>
  <si>
    <t>label p227 "Do you have three main forestry activities?" label variable p227_1 "First activity"</t>
  </si>
  <si>
    <t>label variable p227_2 "Second activity"</t>
  </si>
  <si>
    <t>label variable p227_3 "Third activity"</t>
  </si>
  <si>
    <t>label variable Diversification "Has a diversification of crops"</t>
  </si>
  <si>
    <t>label variable p231 "Do you use biological control practices in agriculture?"</t>
  </si>
  <si>
    <t>label variable p232 "Do you assess pests and/or diseases when applying biological control?"</t>
  </si>
  <si>
    <t>label variable p233 "Do you use cultural control (pruning, field preparation and cleaning, etc.)?"</t>
  </si>
  <si>
    <t>label variable p234 "Do you use physical control (natural barriers and hedgerows)?"</t>
  </si>
  <si>
    <t>label variable p235 "Do you use chemical control (pesticides)?"</t>
  </si>
  <si>
    <t>label variable p236 "Do you use behavioral control (natural chemical attractants)?"</t>
  </si>
  <si>
    <t>label variable p241 "Currently, what coffee varieties do you cultivate?"</t>
  </si>
  <si>
    <t>label variable p2411 "Catimor"</t>
  </si>
  <si>
    <t>label variable p2412 "Caturra"</t>
  </si>
  <si>
    <t>label variable p2413 "Gran Colombia"</t>
  </si>
  <si>
    <t>label variable p2414 "Catuai"</t>
  </si>
  <si>
    <t>label variable p2415 "Costa Rica"</t>
  </si>
  <si>
    <t>label variable p2416 "Geisha"</t>
  </si>
  <si>
    <t>label variable Variety "There is a variety of coffee cultivation"</t>
  </si>
  <si>
    <t>label variable p242 "According to the variety, how many hectares of coffee are cultivated?"</t>
  </si>
  <si>
    <t>label variable p2421 "Catimor"</t>
  </si>
  <si>
    <t>label variable p2422 ​​"Caturra"</t>
  </si>
  <si>
    <t>label variable p2423 "Gran Colombia"</t>
  </si>
  <si>
    <t>label variable p2424 "Catuai"</t>
  </si>
  <si>
    <t>label variable p2425 "Costa Rica"</t>
  </si>
  <si>
    <t>label variable p2426 "Geisha"</t>
  </si>
  <si>
    <t>label variable p243 "According to the variety, how many kilograms of coffee were harvested on average?"</t>
  </si>
  <si>
    <t>label variable p2431 "Catimor"</t>
  </si>
  <si>
    <t>label variable p2432 "Caturra"</t>
  </si>
  <si>
    <t>label variable p2433 "Gran Colombia"</t>
  </si>
  <si>
    <t>label variable p2434 "Catuai"</t>
  </si>
  <si>
    <t>label variable p2435 "Costa Rica"</t>
  </si>
  <si>
    <t>label variable p2436 "Geisha"</t>
  </si>
  <si>
    <t>label variable p244 "By variety, how many hectares of coffee are in production?"</t>
  </si>
  <si>
    <t>label variable p2441 "Catimor"</t>
  </si>
  <si>
    <t>label variable p2442 "Caturra"</t>
  </si>
  <si>
    <t>label variable p2443 "Gran Colombia"</t>
  </si>
  <si>
    <t>label variable p2444 "Catuai"</t>
  </si>
  <si>
    <t>label variable p2445 "Costa Rica"</t>
  </si>
  <si>
    <t>label variable p2446 "Geisha"</t>
  </si>
  <si>
    <t>label variable Yield "Yield (tons per hectare)"</t>
  </si>
  <si>
    <t>label variable NiRen "Yield level"</t>
  </si>
  <si>
    <t>label variable p245 "By variety, how many coffee plants are there on average per hectare?"</t>
  </si>
  <si>
    <t>label variable p2451 "Catimor"</t>
  </si>
  <si>
    <t>label variable p2452 "Caturra"</t>
  </si>
  <si>
    <t>label variable p2453 "Gran Colombia"</t>
  </si>
  <si>
    <t>label variable p2454 "Catuai"</t>
  </si>
  <si>
    <t>label variable p2455 "Costa Rica"</t>
  </si>
  <si>
    <t>label variable p2456 "Geisha"</t>
  </si>
  <si>
    <t>label variable p246 "According to variety, how many years has the coffee crop been cultivated?"</t>
  </si>
  <si>
    <t>label variable p2461 "Catimor"</t>
  </si>
  <si>
    <t>label variable p2462 "Caturra"</t>
  </si>
  <si>
    <t>label variable p2463 "Gran Colombia"</t>
  </si>
  <si>
    <t>label variable p2464 "Catuai"</t>
  </si>
  <si>
    <t>label variable p2465 "Costa Rica"</t>
  </si>
  <si>
    <t>label variable p2466 "Geisha"</t>
  </si>
  <si>
    <t>label variable AgeC "Age of the crop (years)"</t>
  </si>
  <si>
    <t>label variable p247 "According to variety, do you practice crop rotation in your coffee cultivation? (Enter "Yes" or "No")"</t>
  </si>
  <si>
    <t>label variable p2471 "Catimor"</t>
  </si>
  <si>
    <t>label variable p2472 "Caturra"</t>
  </si>
  <si>
    <t>label variable p2473 "Gran Colombia"</t>
  </si>
  <si>
    <t>label variable p2474 "Catuai"</t>
  </si>
  <si>
    <t>label variable p2475 "Costa Rica"</t>
  </si>
  <si>
    <t>label variable p2476 "Geisha"</t>
  </si>
  <si>
    <t>label variable Rotation "Crop rotation"</t>
  </si>
  <si>
    <t>label variable p248 "The plantation that is associated with "Coffee cultivation"</t>
  </si>
  <si>
    <t>label variable p2481 "Banana"</t>
  </si>
  <si>
    <t>label variable p2482 "Wood"</t>
  </si>
  <si>
    <t>label variable p2483 "Guaba"</t>
  </si>
  <si>
    <t>label variable p2484 "Pine"</t>
  </si>
  <si>
    <t>label variable Associativity "Implements associativity in coffee cultivation"</t>
  </si>
  <si>
    <t>label variable p251 "According to variety, have you ever performed soil analysis for coffee cultivation? (Enter "Yes" or "No")"</t>
  </si>
  <si>
    <t>label variable p2511 "Catimor"</t>
  </si>
  <si>
    <t>label variable p2512 "Caturra"</t>
  </si>
  <si>
    <t>label variable p2513 "Gran Colombia"</t>
  </si>
  <si>
    <t>label variable p2514 "Catuai"</t>
  </si>
  <si>
    <t>label variable p2515 "Costa Rica"</t>
  </si>
  <si>
    <t>label variable p2516 "Geisha"</t>
  </si>
  <si>
    <t>label variable Soil "Soil Analysis"</t>
  </si>
  <si>
    <t>label variable p252 "According to variety, have you implemented any seed management techniques for coffee cultivation? (Enter "Yes" or "No")"</t>
  </si>
  <si>
    <t>label variable p2521 "Catimor"</t>
  </si>
  <si>
    <t>label variable p2522 "Caturra"</t>
  </si>
  <si>
    <t>label variable p2523 "Gran Colombia"</t>
  </si>
  <si>
    <t>label variable p2524 "Catuai"</t>
  </si>
  <si>
    <t>label variable p2525 "Costa Rica"</t>
  </si>
  <si>
    <t>label variable p2526 "Geisha"</t>
  </si>
  <si>
    <t>label variable Seeds "Seed Management Techniques"</t>
  </si>
  <si>
    <t>label variable p253 "According to variety, have you used any seed management techniques for coffee cultivation? (Enter "Yes" or "No")"</t>
  </si>
  <si>
    <t>label variable p2531 "Catimor"</t>
  </si>
  <si>
    <t>label variable p2532 "Caturra"</t>
  </si>
  <si>
    <t>label variable p2533 "Gran Colombia"</t>
  </si>
  <si>
    <t>label variable p2534 "Catuai"</t>
  </si>
  <si>
    <t>label variable p2535 "Costa Rica"</t>
  </si>
  <si>
    <t>label variable p2536 "Geisha"</t>
  </si>
  <si>
    <t>label variable p254 "According to variety, have you fertilized the coffee crop? (Enter "Yes" or "No")"</t>
  </si>
  <si>
    <t>label variable p2541 "Catimor"</t>
  </si>
  <si>
    <t>label variable p2542 "Caturra"</t>
  </si>
  <si>
    <t>label variable p2543 "Gran Colombia"</t>
  </si>
  <si>
    <t>label variable p2544 "Catuai"</t>
  </si>
  <si>
    <t>label variable p2545 "Costa Rica"</t>
  </si>
  <si>
    <t>label variable p2546 "Geisha"</t>
  </si>
  <si>
    <t>label variable AboFer "Use of fertilizers and compost"</t>
  </si>
  <si>
    <t>label variable p255 "According to variety, is the production organic in coffee cultivation? (Enter "Yes" or "No")"</t>
  </si>
  <si>
    <t>label variable p2551 "Catimor"</t>
  </si>
  <si>
    <t>label variable p2552 "Caturra"</t>
  </si>
  <si>
    <t>label variable p2553 "Gran Colombia"</t>
  </si>
  <si>
    <t>label variable p2554 "Catuai"</t>
  </si>
  <si>
    <t>label variable p2555 "Costa Rica"</t>
  </si>
  <si>
    <t>label variable p2556 "Geisha"</t>
  </si>
  <si>
    <t>label variable Organic "Organic production"</t>
  </si>
  <si>
    <t>label variable p256 "According to variety, have you carried out other agricultural practices in coffee cultivation? (Enter "Yes" or "No")"</t>
  </si>
  <si>
    <t>label variable p2561 "Catimor"</t>
  </si>
  <si>
    <t>label variable p2562 "Caturra"</t>
  </si>
  <si>
    <t>label variable p2563 "Gran Colombia"</t>
  </si>
  <si>
    <t>label variable p2564 "Catuai"</t>
  </si>
  <si>
    <t>label variable p2565 "Costa Rica"</t>
  </si>
  <si>
    <t>label variable p2566 "Geisha"</t>
  </si>
  <si>
    <t>label variable Practices "Agricultural Practices"</t>
  </si>
  <si>
    <t>label variable p257 "What are those other agricultural practices that you have carried out? If 'Yes' in the answer to question 25.6"</t>
  </si>
  <si>
    <t>label variable p2571 "Catimor"</t>
  </si>
  <si>
    <t>label variable p2572 "Caturra"</t>
  </si>
  <si>
    <t>label variable p2573 "Gran Colombia"</t>
  </si>
  <si>
    <t>label variable p2574 "Catuai"</t>
  </si>
  <si>
    <t>label variable p2575 "Costa Rica"</t>
  </si>
  <si>
    <t>label variable p2576 "Geisha"</t>
  </si>
  <si>
    <t>label variable p261 "By variety, what is the amount of credit received to finance coffee cultivation?"</t>
  </si>
  <si>
    <t>label variable p2611 "Catimor"</t>
  </si>
  <si>
    <t>label variable p2612 "Caturra"</t>
  </si>
  <si>
    <t>label variable p2613 "Gran Colombia"</t>
  </si>
  <si>
    <t>label variable p2614 "Catuai"</t>
  </si>
  <si>
    <t>label variable p2615 "Costa Rica"</t>
  </si>
  <si>
    <t>label variable p2616 "Geisha"</t>
  </si>
  <si>
    <t>label variable p262 "By variety, what is the amount of personal funds invested in coffee cultivation?"</t>
  </si>
  <si>
    <t>label variable p2621 "Catimor"</t>
  </si>
  <si>
    <t>label variable p2622 "Caturra"</t>
  </si>
  <si>
    <t>label variable p2623 "Gran Colombia"</t>
  </si>
  <si>
    <t>label variable p2624 "Catuai"</t>
  </si>
  <si>
    <t>label variable p2625 "Costa Rica"</t>
  </si>
  <si>
    <t>label variable p2626 "Geisha"</t>
  </si>
  <si>
    <t>label variable p263 "Based on variety, do you perceive that the market price outlook for coffee is good? (Enter "Yes" or "No")"</t>
  </si>
  <si>
    <t>label variable p2631 "Catimor"</t>
  </si>
  <si>
    <t>label variable p2632 "Caturra"</t>
  </si>
  <si>
    <t>label variable p2633 "Gran Colombia"</t>
  </si>
  <si>
    <t>label variable p2634 "Catuai"</t>
  </si>
  <si>
    <t>label variable p2635 "Costa Rica"</t>
  </si>
  <si>
    <t>label variable p2636 "Geisha"</t>
  </si>
  <si>
    <t>label variable p264 "Based on variety, do you perceive that the market outlook for coffee sales is good? (Enter "Yes" or "No")" “No”)”</t>
  </si>
  <si>
    <t>label variable p2641 “Catimor”</t>
  </si>
  <si>
    <t>label variable p2642 “Caturra”</t>
  </si>
  <si>
    <t>label variable p2643 “Gran Colombia”</t>
  </si>
  <si>
    <t>label variable p2644 “Catuai”</t>
  </si>
  <si>
    <t>label variable p2645 “Costa Rica”</t>
  </si>
  <si>
    <t>label variable p2646 “Geisha”</t>
  </si>
  <si>
    <t>label variable p265 “According to variety, do you have access to agricultural insurance for your coffee crop? (Enter “Yes” or “No”)”</t>
  </si>
  <si>
    <t>label variable p2651 “Catimor”</t>
  </si>
  <si>
    <t>label variable p2652 “Caturra”</t>
  </si>
  <si>
    <t>label variable p2653 “Gran Colombia”</t>
  </si>
  <si>
    <t>label variable p2654 “Catuai”</t>
  </si>
  <si>
    <t>label variable p2655 “Costa Rica”</t>
  </si>
  <si>
    <t>label variable p2656 “Geisha”</t>
  </si>
  <si>
    <t>label variable p266 “According to variety, which institution provided you with credit for your coffee crop? If “Yes” in "The answer to question 26.1"</t>
  </si>
  <si>
    <t>label variable p2661 "Catimor"</t>
  </si>
  <si>
    <t>label variable p2662 "Caturra"</t>
  </si>
  <si>
    <t>label variable p2663 "Gran Colombia"</t>
  </si>
  <si>
    <t>label variable p2664 "Catuai"</t>
  </si>
  <si>
    <t>label variable p2665 "Costa Rica"</t>
  </si>
  <si>
    <t>label variable p2666 "Geisha"</t>
  </si>
  <si>
    <t>label variable p267 "According to variety, which institution provides agricultural insurance for your coffee crop? If "Yes" in the answer to question 26.5"</t>
  </si>
  <si>
    <t>label variable p2671 "Catimor"</t>
  </si>
  <si>
    <t>label variable p2672 "Caturra"</t>
  </si>
  <si>
    <t>label variable p2673 "Gran Colombia"</t>
  </si>
  <si>
    <t>label variable p2674 "Catuai"</t>
  </si>
  <si>
    <t>label variable p2675 "Costa Rica"</t>
  </si>
  <si>
    <t>label variable p2676 "Geisha"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</si>
</sst>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10" fontId="1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1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4179-5BC5-4568-9FD6-F8B37EFEB20C}">
  <dimension ref="A1:IO153"/>
  <sheetViews>
    <sheetView tabSelected="1" zoomScale="130" zoomScaleNormal="130" workbookViewId="0">
      <pane ySplit="1" topLeftCell="A2" activePane="bottomLeft" state="frozen"/>
      <selection pane="bottomLeft" activeCell="K6" sqref="K6"/>
    </sheetView>
  </sheetViews>
  <sheetFormatPr baseColWidth="10" defaultRowHeight="18" x14ac:dyDescent="0.25"/>
  <cols>
    <col min="1" max="1" width="15.7109375" style="1" bestFit="1" customWidth="1"/>
    <col min="2" max="2" width="17.42578125" style="1" bestFit="1" customWidth="1"/>
    <col min="3" max="3" width="10.7109375" style="1" bestFit="1" customWidth="1"/>
    <col min="4" max="4" width="19.7109375" style="1" bestFit="1" customWidth="1"/>
    <col min="5" max="5" width="21.85546875" style="1" bestFit="1" customWidth="1"/>
    <col min="6" max="8" width="21.85546875" style="1" customWidth="1"/>
    <col min="9" max="9" width="7.7109375" style="1" bestFit="1" customWidth="1"/>
    <col min="10" max="11" width="11.42578125" style="1"/>
    <col min="12" max="12" width="15.28515625" style="1" bestFit="1" customWidth="1"/>
    <col min="13" max="18" width="11.42578125" style="1"/>
    <col min="19" max="19" width="41.42578125" style="1" bestFit="1" customWidth="1"/>
    <col min="20" max="22" width="11.42578125" style="1"/>
    <col min="23" max="23" width="17.42578125" style="1" bestFit="1" customWidth="1"/>
    <col min="24" max="24" width="11.42578125" style="1"/>
    <col min="25" max="26" width="15.5703125" style="1" bestFit="1" customWidth="1"/>
    <col min="27" max="69" width="11.42578125" style="1"/>
    <col min="70" max="70" width="19" style="1" bestFit="1" customWidth="1"/>
    <col min="71" max="78" width="11.42578125" style="1"/>
    <col min="79" max="83" width="11.42578125" style="1" customWidth="1"/>
    <col min="84" max="84" width="12.140625" style="1" bestFit="1" customWidth="1"/>
    <col min="85" max="105" width="11.42578125" style="1" customWidth="1"/>
    <col min="106" max="106" width="16.7109375" style="1" bestFit="1" customWidth="1"/>
    <col min="107" max="107" width="18.5703125" style="1" bestFit="1" customWidth="1"/>
    <col min="108" max="135" width="11.42578125" style="1" customWidth="1"/>
    <col min="136" max="136" width="17.42578125" style="1" bestFit="1" customWidth="1"/>
    <col min="137" max="174" width="11.42578125" style="1" customWidth="1"/>
    <col min="175" max="175" width="12.140625" style="1" bestFit="1" customWidth="1"/>
    <col min="176" max="176" width="11.42578125" style="1" customWidth="1"/>
    <col min="177" max="182" width="11.42578125" style="1"/>
    <col min="183" max="183" width="12.42578125" style="1" bestFit="1" customWidth="1"/>
    <col min="184" max="184" width="11.42578125" style="1"/>
    <col min="185" max="186" width="76.7109375" style="1" bestFit="1" customWidth="1"/>
    <col min="187" max="207" width="11.42578125" style="1"/>
    <col min="208" max="208" width="13.42578125" style="1" bestFit="1" customWidth="1"/>
    <col min="209" max="209" width="11.42578125" style="1"/>
    <col min="210" max="210" width="12.28515625" style="1" bestFit="1" customWidth="1"/>
    <col min="211" max="231" width="11.42578125" style="1"/>
    <col min="232" max="232" width="26.7109375" style="1" bestFit="1" customWidth="1"/>
    <col min="233" max="16384" width="11.42578125" style="1"/>
  </cols>
  <sheetData>
    <row r="1" spans="1:249" x14ac:dyDescent="0.25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322</v>
      </c>
      <c r="Z1" s="1" t="s">
        <v>323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198</v>
      </c>
      <c r="AT1" s="1" t="s">
        <v>199</v>
      </c>
      <c r="AU1" s="1" t="s">
        <v>200</v>
      </c>
      <c r="AV1" s="1" t="s">
        <v>201</v>
      </c>
      <c r="AW1" s="1" t="s">
        <v>202</v>
      </c>
      <c r="AX1" s="1" t="s">
        <v>203</v>
      </c>
      <c r="AY1" s="1" t="s">
        <v>204</v>
      </c>
      <c r="AZ1" s="1" t="s">
        <v>305</v>
      </c>
      <c r="BA1" s="1" t="s">
        <v>205</v>
      </c>
      <c r="BB1" s="1" t="s">
        <v>307</v>
      </c>
      <c r="BC1" s="1" t="s">
        <v>206</v>
      </c>
      <c r="BD1" s="1" t="s">
        <v>306</v>
      </c>
      <c r="BE1" s="1" t="s">
        <v>32</v>
      </c>
      <c r="BF1" s="1" t="s">
        <v>33</v>
      </c>
      <c r="BG1" s="1" t="s">
        <v>207</v>
      </c>
      <c r="BH1" s="1" t="s">
        <v>208</v>
      </c>
      <c r="BI1" s="1" t="s">
        <v>209</v>
      </c>
      <c r="BJ1" s="1" t="s">
        <v>34</v>
      </c>
      <c r="BK1" s="1" t="s">
        <v>212</v>
      </c>
      <c r="BL1" s="1" t="s">
        <v>213</v>
      </c>
      <c r="BM1" s="1" t="s">
        <v>214</v>
      </c>
      <c r="BN1" s="1" t="s">
        <v>35</v>
      </c>
      <c r="BO1" s="1" t="s">
        <v>215</v>
      </c>
      <c r="BP1" s="1" t="s">
        <v>216</v>
      </c>
      <c r="BQ1" s="1" t="s">
        <v>217</v>
      </c>
      <c r="BR1" s="1" t="s">
        <v>313</v>
      </c>
      <c r="BS1" s="1" t="s">
        <v>36</v>
      </c>
      <c r="BT1" s="1" t="s">
        <v>37</v>
      </c>
      <c r="BU1" s="1" t="s">
        <v>38</v>
      </c>
      <c r="BV1" s="1" t="s">
        <v>39</v>
      </c>
      <c r="BW1" s="1" t="s">
        <v>40</v>
      </c>
      <c r="BX1" s="1" t="s">
        <v>41</v>
      </c>
      <c r="BY1" s="1" t="s">
        <v>42</v>
      </c>
      <c r="BZ1" s="1" t="s">
        <v>43</v>
      </c>
      <c r="CA1" s="1" t="s">
        <v>44</v>
      </c>
      <c r="CB1" s="1" t="s">
        <v>45</v>
      </c>
      <c r="CC1" s="1" t="s">
        <v>46</v>
      </c>
      <c r="CD1" s="1" t="s">
        <v>47</v>
      </c>
      <c r="CE1" s="1" t="s">
        <v>48</v>
      </c>
      <c r="CF1" s="1" t="s">
        <v>312</v>
      </c>
      <c r="CG1" s="1" t="s">
        <v>49</v>
      </c>
      <c r="CH1" s="1" t="s">
        <v>50</v>
      </c>
      <c r="CI1" s="1" t="s">
        <v>51</v>
      </c>
      <c r="CJ1" s="1" t="s">
        <v>52</v>
      </c>
      <c r="CK1" s="1" t="s">
        <v>53</v>
      </c>
      <c r="CL1" s="1" t="s">
        <v>54</v>
      </c>
      <c r="CM1" s="1" t="s">
        <v>55</v>
      </c>
      <c r="CN1" s="1" t="s">
        <v>56</v>
      </c>
      <c r="CO1" s="1" t="s">
        <v>57</v>
      </c>
      <c r="CP1" s="1" t="s">
        <v>58</v>
      </c>
      <c r="CQ1" s="1" t="s">
        <v>59</v>
      </c>
      <c r="CR1" s="1" t="s">
        <v>60</v>
      </c>
      <c r="CS1" s="1" t="s">
        <v>61</v>
      </c>
      <c r="CT1" s="1" t="s">
        <v>62</v>
      </c>
      <c r="CU1" s="1" t="s">
        <v>63</v>
      </c>
      <c r="CV1" s="1" t="s">
        <v>64</v>
      </c>
      <c r="CW1" s="1" t="s">
        <v>65</v>
      </c>
      <c r="CX1" s="1" t="s">
        <v>66</v>
      </c>
      <c r="CY1" s="1" t="s">
        <v>67</v>
      </c>
      <c r="CZ1" s="1" t="s">
        <v>68</v>
      </c>
      <c r="DA1" s="1" t="s">
        <v>69</v>
      </c>
      <c r="DB1" s="1" t="s">
        <v>324</v>
      </c>
      <c r="DC1" s="1" t="s">
        <v>325</v>
      </c>
      <c r="DD1" s="1" t="s">
        <v>70</v>
      </c>
      <c r="DE1" s="1" t="s">
        <v>71</v>
      </c>
      <c r="DF1" s="1" t="s">
        <v>72</v>
      </c>
      <c r="DG1" s="1" t="s">
        <v>73</v>
      </c>
      <c r="DH1" s="1" t="s">
        <v>74</v>
      </c>
      <c r="DI1" s="1" t="s">
        <v>75</v>
      </c>
      <c r="DJ1" s="1" t="s">
        <v>76</v>
      </c>
      <c r="DK1" s="1" t="s">
        <v>77</v>
      </c>
      <c r="DL1" s="1" t="s">
        <v>78</v>
      </c>
      <c r="DM1" s="1" t="s">
        <v>79</v>
      </c>
      <c r="DN1" s="1" t="s">
        <v>80</v>
      </c>
      <c r="DO1" s="1" t="s">
        <v>81</v>
      </c>
      <c r="DP1" s="1" t="s">
        <v>82</v>
      </c>
      <c r="DQ1" s="1" t="s">
        <v>83</v>
      </c>
      <c r="DR1" s="1" t="s">
        <v>315</v>
      </c>
      <c r="DS1" s="1" t="s">
        <v>84</v>
      </c>
      <c r="DT1" s="1" t="s">
        <v>85</v>
      </c>
      <c r="DU1" s="1" t="s">
        <v>86</v>
      </c>
      <c r="DV1" s="1" t="s">
        <v>87</v>
      </c>
      <c r="DW1" s="1" t="s">
        <v>88</v>
      </c>
      <c r="DX1" s="1" t="s">
        <v>89</v>
      </c>
      <c r="DY1" s="1" t="s">
        <v>90</v>
      </c>
      <c r="DZ1" s="1" t="s">
        <v>316</v>
      </c>
      <c r="EA1" s="1" t="s">
        <v>91</v>
      </c>
      <c r="EB1" s="1" t="s">
        <v>92</v>
      </c>
      <c r="EC1" s="1" t="s">
        <v>93</v>
      </c>
      <c r="ED1" s="1" t="s">
        <v>94</v>
      </c>
      <c r="EE1" s="1" t="s">
        <v>218</v>
      </c>
      <c r="EF1" s="1" t="s">
        <v>314</v>
      </c>
      <c r="EG1" s="1" t="s">
        <v>95</v>
      </c>
      <c r="EH1" s="1" t="s">
        <v>96</v>
      </c>
      <c r="EI1" s="1" t="s">
        <v>97</v>
      </c>
      <c r="EJ1" s="1" t="s">
        <v>98</v>
      </c>
      <c r="EK1" s="1" t="s">
        <v>99</v>
      </c>
      <c r="EL1" s="1" t="s">
        <v>100</v>
      </c>
      <c r="EM1" s="1" t="s">
        <v>101</v>
      </c>
      <c r="EN1" s="1" t="s">
        <v>317</v>
      </c>
      <c r="EO1" s="1" t="s">
        <v>102</v>
      </c>
      <c r="EP1" s="1" t="s">
        <v>103</v>
      </c>
      <c r="EQ1" s="1" t="s">
        <v>104</v>
      </c>
      <c r="ER1" s="1" t="s">
        <v>105</v>
      </c>
      <c r="ES1" s="1" t="s">
        <v>106</v>
      </c>
      <c r="ET1" s="1" t="s">
        <v>107</v>
      </c>
      <c r="EU1" s="1" t="s">
        <v>108</v>
      </c>
      <c r="EV1" s="1" t="s">
        <v>318</v>
      </c>
      <c r="EW1" s="1" t="s">
        <v>109</v>
      </c>
      <c r="EX1" s="1" t="s">
        <v>110</v>
      </c>
      <c r="EY1" s="1" t="s">
        <v>111</v>
      </c>
      <c r="EZ1" s="1" t="s">
        <v>112</v>
      </c>
      <c r="FA1" s="1" t="s">
        <v>113</v>
      </c>
      <c r="FB1" s="1" t="s">
        <v>114</v>
      </c>
      <c r="FC1" s="1" t="s">
        <v>115</v>
      </c>
      <c r="FD1" s="1" t="s">
        <v>116</v>
      </c>
      <c r="FE1" s="1" t="s">
        <v>117</v>
      </c>
      <c r="FF1" s="1" t="s">
        <v>118</v>
      </c>
      <c r="FG1" s="1" t="s">
        <v>119</v>
      </c>
      <c r="FH1" s="1" t="s">
        <v>120</v>
      </c>
      <c r="FI1" s="1" t="s">
        <v>121</v>
      </c>
      <c r="FJ1" s="1" t="s">
        <v>122</v>
      </c>
      <c r="FK1" s="1" t="s">
        <v>319</v>
      </c>
      <c r="FL1" s="1" t="s">
        <v>123</v>
      </c>
      <c r="FM1" s="1" t="s">
        <v>124</v>
      </c>
      <c r="FN1" s="1" t="s">
        <v>125</v>
      </c>
      <c r="FO1" s="1" t="s">
        <v>126</v>
      </c>
      <c r="FP1" s="1" t="s">
        <v>127</v>
      </c>
      <c r="FQ1" s="1" t="s">
        <v>128</v>
      </c>
      <c r="FR1" s="1" t="s">
        <v>129</v>
      </c>
      <c r="FS1" s="1" t="s">
        <v>320</v>
      </c>
      <c r="FT1" s="1" t="s">
        <v>130</v>
      </c>
      <c r="FU1" s="1" t="s">
        <v>131</v>
      </c>
      <c r="FV1" s="1" t="s">
        <v>132</v>
      </c>
      <c r="FW1" s="1" t="s">
        <v>133</v>
      </c>
      <c r="FX1" s="1" t="s">
        <v>134</v>
      </c>
      <c r="FY1" s="1" t="s">
        <v>135</v>
      </c>
      <c r="FZ1" s="1" t="s">
        <v>136</v>
      </c>
      <c r="GA1" s="1" t="s">
        <v>321</v>
      </c>
      <c r="GB1" s="1" t="s">
        <v>137</v>
      </c>
      <c r="GC1" s="1" t="s">
        <v>138</v>
      </c>
      <c r="GD1" s="1" t="s">
        <v>139</v>
      </c>
      <c r="GE1" s="1" t="s">
        <v>140</v>
      </c>
      <c r="GF1" s="1" t="s">
        <v>141</v>
      </c>
      <c r="GG1" s="1" t="s">
        <v>142</v>
      </c>
      <c r="GH1" s="1" t="s">
        <v>143</v>
      </c>
      <c r="GI1" s="1" t="s">
        <v>144</v>
      </c>
      <c r="GJ1" s="1" t="s">
        <v>145</v>
      </c>
      <c r="GK1" s="1" t="s">
        <v>146</v>
      </c>
      <c r="GL1" s="1" t="s">
        <v>147</v>
      </c>
      <c r="GM1" s="1" t="s">
        <v>148</v>
      </c>
      <c r="GN1" s="1" t="s">
        <v>149</v>
      </c>
      <c r="GO1" s="1" t="s">
        <v>150</v>
      </c>
      <c r="GP1" s="1" t="s">
        <v>326</v>
      </c>
      <c r="GQ1" s="1" t="s">
        <v>151</v>
      </c>
      <c r="GR1" s="1" t="s">
        <v>152</v>
      </c>
      <c r="GS1" s="1" t="s">
        <v>153</v>
      </c>
      <c r="GT1" s="1" t="s">
        <v>154</v>
      </c>
      <c r="GU1" s="1" t="s">
        <v>155</v>
      </c>
      <c r="GV1" s="1" t="s">
        <v>156</v>
      </c>
      <c r="GW1" s="1" t="s">
        <v>157</v>
      </c>
      <c r="GX1" s="1" t="s">
        <v>327</v>
      </c>
      <c r="GY1" s="1" t="s">
        <v>158</v>
      </c>
      <c r="GZ1" s="1" t="s">
        <v>159</v>
      </c>
      <c r="HA1" s="1" t="s">
        <v>160</v>
      </c>
      <c r="HB1" s="1" t="s">
        <v>161</v>
      </c>
      <c r="HC1" s="1" t="s">
        <v>162</v>
      </c>
      <c r="HD1" s="1" t="s">
        <v>163</v>
      </c>
      <c r="HE1" s="1" t="s">
        <v>164</v>
      </c>
      <c r="HF1" s="1" t="s">
        <v>329</v>
      </c>
      <c r="HG1" s="1" t="s">
        <v>165</v>
      </c>
      <c r="HH1" s="1" t="s">
        <v>166</v>
      </c>
      <c r="HI1" s="1" t="s">
        <v>167</v>
      </c>
      <c r="HJ1" s="1" t="s">
        <v>168</v>
      </c>
      <c r="HK1" s="1" t="s">
        <v>169</v>
      </c>
      <c r="HL1" s="1" t="s">
        <v>170</v>
      </c>
      <c r="HM1" s="1" t="s">
        <v>171</v>
      </c>
      <c r="HN1" s="1" t="s">
        <v>330</v>
      </c>
      <c r="HO1" s="1" t="s">
        <v>172</v>
      </c>
      <c r="HP1" s="1" t="s">
        <v>173</v>
      </c>
      <c r="HQ1" s="1" t="s">
        <v>174</v>
      </c>
      <c r="HR1" s="1" t="s">
        <v>175</v>
      </c>
      <c r="HS1" s="1" t="s">
        <v>176</v>
      </c>
      <c r="HT1" s="1" t="s">
        <v>177</v>
      </c>
      <c r="HU1" s="1" t="s">
        <v>178</v>
      </c>
      <c r="HV1" s="1" t="s">
        <v>328</v>
      </c>
      <c r="HW1" s="1" t="s">
        <v>179</v>
      </c>
      <c r="HX1" s="1" t="s">
        <v>180</v>
      </c>
      <c r="HY1" s="1" t="s">
        <v>181</v>
      </c>
      <c r="HZ1" s="1" t="s">
        <v>182</v>
      </c>
      <c r="IA1" s="1" t="s">
        <v>183</v>
      </c>
      <c r="IB1" s="1" t="s">
        <v>184</v>
      </c>
      <c r="IC1" s="1" t="s">
        <v>185</v>
      </c>
      <c r="ID1" s="1" t="s">
        <v>186</v>
      </c>
      <c r="IE1" s="1" t="s">
        <v>187</v>
      </c>
      <c r="IF1" s="1" t="s">
        <v>188</v>
      </c>
      <c r="IG1" s="1" t="s">
        <v>189</v>
      </c>
      <c r="IH1" s="1" t="s">
        <v>190</v>
      </c>
      <c r="II1" s="1" t="s">
        <v>191</v>
      </c>
      <c r="IJ1" s="1" t="s">
        <v>192</v>
      </c>
      <c r="IK1" s="1" t="s">
        <v>331</v>
      </c>
      <c r="IL1" s="1" t="s">
        <v>332</v>
      </c>
      <c r="IM1" s="1" t="s">
        <v>333</v>
      </c>
      <c r="IN1" s="1" t="s">
        <v>334</v>
      </c>
      <c r="IO1" s="1" t="s">
        <v>335</v>
      </c>
    </row>
    <row r="2" spans="1:249" x14ac:dyDescent="0.25">
      <c r="A2" s="1">
        <v>1</v>
      </c>
      <c r="B2" s="1" t="s">
        <v>237</v>
      </c>
      <c r="C2" s="1" t="s">
        <v>194</v>
      </c>
      <c r="D2" s="1" t="s">
        <v>219</v>
      </c>
      <c r="E2" s="1" t="s">
        <v>227</v>
      </c>
      <c r="F2" s="1">
        <v>0</v>
      </c>
      <c r="G2" s="1">
        <v>0</v>
      </c>
      <c r="H2" s="1">
        <v>1</v>
      </c>
      <c r="I2" s="1">
        <v>43</v>
      </c>
      <c r="J2" s="1">
        <v>0</v>
      </c>
      <c r="K2" s="1">
        <v>0</v>
      </c>
      <c r="L2" s="1">
        <v>1</v>
      </c>
      <c r="M2" s="1">
        <v>1</v>
      </c>
      <c r="N2" s="1">
        <v>1</v>
      </c>
      <c r="O2" s="1">
        <v>7</v>
      </c>
      <c r="P2" s="1">
        <v>24</v>
      </c>
      <c r="Q2" s="1">
        <v>600</v>
      </c>
      <c r="R2" s="1">
        <v>1</v>
      </c>
      <c r="S2" s="1" t="s">
        <v>220</v>
      </c>
      <c r="T2" s="1">
        <v>1</v>
      </c>
      <c r="U2" s="1">
        <v>500</v>
      </c>
      <c r="V2" s="1">
        <v>1</v>
      </c>
      <c r="W2" s="1" t="s">
        <v>238</v>
      </c>
      <c r="X2" s="1">
        <v>4</v>
      </c>
      <c r="Y2" s="1">
        <f>IF(X2=2,1,IF(X2=3,1,0))</f>
        <v>0</v>
      </c>
      <c r="Z2" s="1">
        <f>IF(X2=4,1,IF(X2=5,1,0))</f>
        <v>1</v>
      </c>
      <c r="AA2" s="1">
        <v>8</v>
      </c>
      <c r="AC2" s="1">
        <v>1</v>
      </c>
      <c r="AD2" s="1">
        <v>0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0</v>
      </c>
      <c r="AK2" s="1">
        <v>0</v>
      </c>
      <c r="AL2" s="1">
        <v>1</v>
      </c>
      <c r="AM2" s="1">
        <v>9</v>
      </c>
      <c r="AO2" s="1">
        <v>1</v>
      </c>
      <c r="AP2" s="1">
        <v>0</v>
      </c>
      <c r="AQ2" s="1">
        <v>0</v>
      </c>
      <c r="AS2" s="1">
        <v>1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2</v>
      </c>
      <c r="BG2" s="1" t="s">
        <v>224</v>
      </c>
      <c r="BR2" s="1">
        <v>0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Z2" s="1">
        <v>1</v>
      </c>
      <c r="CF2" s="1">
        <f>IF(SUM(BZ2:CE2)=1,0,1)</f>
        <v>0</v>
      </c>
      <c r="CH2" s="1">
        <v>2</v>
      </c>
      <c r="CO2" s="1">
        <v>600</v>
      </c>
      <c r="CV2" s="1">
        <v>1</v>
      </c>
      <c r="DB2" s="7">
        <f>(SUM(CO2:CT2)/SUM(CV2:DA2))/1000</f>
        <v>0.6</v>
      </c>
      <c r="DC2" s="5">
        <f>IF(DB2&lt;=0.6,1,IF(DB2&lt;=0.8,2,3))</f>
        <v>1</v>
      </c>
      <c r="DE2" s="1">
        <v>3000</v>
      </c>
      <c r="DL2" s="1">
        <v>1</v>
      </c>
      <c r="DR2" s="1">
        <f>MAX(DL2:DQ2)</f>
        <v>1</v>
      </c>
      <c r="DT2" s="1">
        <v>1</v>
      </c>
      <c r="DZ2" s="1">
        <f>IF(SUM(DT2:DY2)=0,0,1)</f>
        <v>1</v>
      </c>
      <c r="EB2" s="1">
        <v>1</v>
      </c>
      <c r="EC2" s="1">
        <v>1</v>
      </c>
      <c r="EF2" s="1">
        <f>IF(SUM(EB2:EE2)=0,0,1)</f>
        <v>1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f>IF(SUM(EH2:EM2)=0,0,1)</f>
        <v>0</v>
      </c>
      <c r="EP2" s="1">
        <v>0</v>
      </c>
      <c r="EV2" s="1">
        <f>IF(SUM(EP2:EU2)=0,0,1)</f>
        <v>0</v>
      </c>
      <c r="EX2" s="1">
        <v>0</v>
      </c>
      <c r="FE2" s="1">
        <v>1</v>
      </c>
      <c r="FK2" s="1">
        <f>IF(SUM(FE2:FJ2)=0,0,1)</f>
        <v>1</v>
      </c>
      <c r="FM2" s="1">
        <v>0</v>
      </c>
      <c r="FS2" s="1">
        <f>IF(SUM(FM2:FR2)=0,0,1)</f>
        <v>0</v>
      </c>
      <c r="FU2" s="1">
        <v>0</v>
      </c>
      <c r="GA2" s="1">
        <f>IF(SUM(FU2:FZ2)=0,0,1)</f>
        <v>0</v>
      </c>
      <c r="GC2" s="1" t="s">
        <v>231</v>
      </c>
      <c r="GJ2" s="1">
        <v>0</v>
      </c>
      <c r="GP2" s="1">
        <f>SUM(GJ2:GO2)</f>
        <v>0</v>
      </c>
      <c r="GR2" s="1">
        <v>10000</v>
      </c>
      <c r="GX2" s="1">
        <f>SUM(GR2:GW2)/1000</f>
        <v>10</v>
      </c>
      <c r="GZ2" s="1">
        <v>1</v>
      </c>
      <c r="HF2" s="1">
        <f>IF(SUM(GZ2:HE2)&gt;=1,1,0)</f>
        <v>1</v>
      </c>
      <c r="HH2" s="1">
        <v>12</v>
      </c>
      <c r="HN2" s="1">
        <f>AVERAGE(HH2:HM2)</f>
        <v>12</v>
      </c>
      <c r="HP2" s="1">
        <v>0</v>
      </c>
      <c r="HV2" s="1">
        <f>IF(SUM(HP2:HU2)&gt;=1,1,0)</f>
        <v>0</v>
      </c>
      <c r="IK2" s="1">
        <v>10</v>
      </c>
      <c r="IL2" s="1">
        <v>0</v>
      </c>
      <c r="IM2" s="1">
        <v>0</v>
      </c>
      <c r="IN2" s="1">
        <v>0</v>
      </c>
      <c r="IO2" s="1">
        <v>0</v>
      </c>
    </row>
    <row r="3" spans="1:249" x14ac:dyDescent="0.25">
      <c r="A3" s="1">
        <v>2</v>
      </c>
      <c r="B3" s="1" t="s">
        <v>237</v>
      </c>
      <c r="C3" s="1" t="s">
        <v>194</v>
      </c>
      <c r="D3" s="1" t="s">
        <v>239</v>
      </c>
      <c r="E3" s="1" t="s">
        <v>239</v>
      </c>
      <c r="F3" s="1">
        <v>1</v>
      </c>
      <c r="G3" s="1">
        <v>0</v>
      </c>
      <c r="H3" s="1">
        <v>0</v>
      </c>
      <c r="I3" s="1">
        <v>73</v>
      </c>
      <c r="J3" s="1">
        <v>1</v>
      </c>
      <c r="K3" s="1">
        <v>1</v>
      </c>
      <c r="M3" s="1">
        <v>0</v>
      </c>
      <c r="N3" s="1">
        <v>0</v>
      </c>
      <c r="O3" s="1">
        <v>2</v>
      </c>
      <c r="P3" s="1">
        <v>60</v>
      </c>
      <c r="Q3" s="1">
        <v>1300</v>
      </c>
      <c r="R3" s="1">
        <v>1</v>
      </c>
      <c r="S3" s="1" t="s">
        <v>197</v>
      </c>
      <c r="T3" s="1">
        <v>0</v>
      </c>
      <c r="U3" s="1">
        <v>0</v>
      </c>
      <c r="V3" s="1">
        <v>1</v>
      </c>
      <c r="W3" s="1" t="s">
        <v>240</v>
      </c>
      <c r="X3" s="1">
        <v>0</v>
      </c>
      <c r="Y3" s="1">
        <f t="shared" ref="Y3:Y66" si="0">IF(X3=2,1,IF(X3=3,1,0))</f>
        <v>0</v>
      </c>
      <c r="Z3" s="1">
        <f t="shared" ref="Z3:Z66" si="1">IF(X3=4,1,IF(X3=5,1,0))</f>
        <v>0</v>
      </c>
      <c r="AA3" s="1">
        <v>0</v>
      </c>
      <c r="AC3" s="1">
        <v>1</v>
      </c>
      <c r="AD3" s="1">
        <v>0</v>
      </c>
      <c r="AE3" s="1">
        <v>1</v>
      </c>
      <c r="AF3" s="1">
        <v>1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1</v>
      </c>
      <c r="AM3" s="1">
        <v>5</v>
      </c>
      <c r="AO3" s="1">
        <v>1</v>
      </c>
      <c r="AP3" s="1">
        <v>0</v>
      </c>
      <c r="AQ3" s="1">
        <v>1</v>
      </c>
      <c r="AS3" s="1">
        <v>1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1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2</v>
      </c>
      <c r="BG3" s="1" t="s">
        <v>224</v>
      </c>
      <c r="BO3" s="1" t="s">
        <v>241</v>
      </c>
      <c r="BP3" s="1" t="s">
        <v>233</v>
      </c>
      <c r="BR3" s="1">
        <v>0</v>
      </c>
      <c r="BS3" s="1">
        <v>0</v>
      </c>
      <c r="BT3" s="1">
        <v>0</v>
      </c>
      <c r="BU3" s="1">
        <v>1</v>
      </c>
      <c r="BV3" s="1">
        <v>0</v>
      </c>
      <c r="BW3" s="1">
        <v>1</v>
      </c>
      <c r="BX3" s="1">
        <v>0</v>
      </c>
      <c r="BZ3" s="1">
        <v>1</v>
      </c>
      <c r="CF3" s="1">
        <f t="shared" ref="CF3:CF66" si="2">IF(SUM(BZ3:CE3)=1,0,1)</f>
        <v>0</v>
      </c>
      <c r="CH3" s="1">
        <v>1</v>
      </c>
      <c r="CO3" s="1">
        <v>800</v>
      </c>
      <c r="CV3" s="1">
        <v>1</v>
      </c>
      <c r="DB3" s="7">
        <f t="shared" ref="DB3:DB66" si="3">(SUM(CO3:CT3)/SUM(CV3:DA3))/1000</f>
        <v>0.8</v>
      </c>
      <c r="DC3" s="5">
        <f t="shared" ref="DC3:DC66" si="4">IF(DB3&lt;=0.6,1,IF(DB3&lt;=0.8,2,3))</f>
        <v>2</v>
      </c>
      <c r="DE3" s="1">
        <v>3000</v>
      </c>
      <c r="DL3" s="1">
        <v>5</v>
      </c>
      <c r="DR3" s="1">
        <f t="shared" ref="DR3:DR66" si="5">MAX(DL3:DQ3)</f>
        <v>5</v>
      </c>
      <c r="DT3" s="1">
        <v>1</v>
      </c>
      <c r="DZ3" s="1">
        <f t="shared" ref="DZ3:DZ66" si="6">IF(SUM(DT3:DY3)=0,0,1)</f>
        <v>1</v>
      </c>
      <c r="ED3" s="1">
        <v>1</v>
      </c>
      <c r="EF3" s="1">
        <f t="shared" ref="EF3:EF66" si="7">IF(SUM(EB3:EE3)=0,0,1)</f>
        <v>1</v>
      </c>
      <c r="EH3" s="1">
        <v>1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f t="shared" ref="EN3:EN66" si="8">IF(SUM(EH3:EM3)=0,0,1)</f>
        <v>1</v>
      </c>
      <c r="EP3" s="1">
        <v>1</v>
      </c>
      <c r="EV3" s="1">
        <f t="shared" ref="EV3:EV66" si="9">IF(SUM(EP3:EU3)=0,0,1)</f>
        <v>1</v>
      </c>
      <c r="EX3" s="1">
        <v>1</v>
      </c>
      <c r="FE3" s="1">
        <v>1</v>
      </c>
      <c r="FK3" s="1">
        <f t="shared" ref="FK3:FK66" si="10">IF(SUM(FE3:FJ3)=0,0,1)</f>
        <v>1</v>
      </c>
      <c r="FM3" s="1">
        <v>0</v>
      </c>
      <c r="FS3" s="1">
        <f t="shared" ref="FS3:FS66" si="11">IF(SUM(FM3:FR3)=0,0,1)</f>
        <v>0</v>
      </c>
      <c r="FU3" s="1">
        <v>0</v>
      </c>
      <c r="GA3" s="1">
        <f t="shared" ref="GA3:GA66" si="12">IF(SUM(FU3:FZ3)=0,0,1)</f>
        <v>0</v>
      </c>
      <c r="GJ3" s="1">
        <v>0</v>
      </c>
      <c r="GP3" s="1">
        <f t="shared" ref="GP3:GP66" si="13">SUM(GJ3:GO3)</f>
        <v>0</v>
      </c>
      <c r="GR3" s="1">
        <v>3000</v>
      </c>
      <c r="GX3" s="1">
        <f t="shared" ref="GX3:GX66" si="14">SUM(GR3:GW3)/1000</f>
        <v>3</v>
      </c>
      <c r="GZ3" s="1">
        <v>1</v>
      </c>
      <c r="HF3" s="1">
        <f t="shared" ref="HF3:HF66" si="15">IF(SUM(GZ3:HE3)&gt;=1,1,0)</f>
        <v>1</v>
      </c>
      <c r="HH3" s="1">
        <v>8</v>
      </c>
      <c r="HN3" s="1">
        <f t="shared" ref="HN3:HN66" si="16">AVERAGE(HH3:HM3)</f>
        <v>8</v>
      </c>
      <c r="HP3" s="1">
        <v>0</v>
      </c>
      <c r="HV3" s="1">
        <f t="shared" ref="HV3:HV66" si="17">IF(SUM(HP3:HU3)&gt;=1,1,0)</f>
        <v>0</v>
      </c>
      <c r="IK3" s="1">
        <v>0</v>
      </c>
      <c r="IL3" s="1">
        <v>40</v>
      </c>
      <c r="IM3" s="1">
        <v>0</v>
      </c>
      <c r="IN3" s="1">
        <v>40</v>
      </c>
      <c r="IO3" s="1">
        <v>0</v>
      </c>
    </row>
    <row r="4" spans="1:249" x14ac:dyDescent="0.25">
      <c r="A4" s="1">
        <v>3</v>
      </c>
      <c r="B4" s="1" t="s">
        <v>237</v>
      </c>
      <c r="C4" s="1" t="s">
        <v>194</v>
      </c>
      <c r="D4" s="1" t="s">
        <v>219</v>
      </c>
      <c r="E4" s="1" t="s">
        <v>227</v>
      </c>
      <c r="F4" s="1">
        <v>0</v>
      </c>
      <c r="G4" s="1">
        <v>0</v>
      </c>
      <c r="H4" s="1">
        <v>1</v>
      </c>
      <c r="I4" s="1">
        <v>33</v>
      </c>
      <c r="J4" s="1">
        <v>1</v>
      </c>
      <c r="K4" s="1">
        <v>1</v>
      </c>
      <c r="M4" s="1">
        <v>0</v>
      </c>
      <c r="N4" s="1">
        <v>1</v>
      </c>
      <c r="O4" s="1">
        <v>5</v>
      </c>
      <c r="P4" s="1">
        <v>33</v>
      </c>
      <c r="Q4" s="1">
        <v>1000</v>
      </c>
      <c r="R4" s="1">
        <v>1</v>
      </c>
      <c r="S4" s="1" t="s">
        <v>308</v>
      </c>
      <c r="T4" s="1">
        <v>1</v>
      </c>
      <c r="U4" s="1">
        <v>400</v>
      </c>
      <c r="V4" s="1">
        <v>0</v>
      </c>
      <c r="X4" s="1">
        <v>5</v>
      </c>
      <c r="Y4" s="1">
        <f t="shared" si="0"/>
        <v>0</v>
      </c>
      <c r="Z4" s="1">
        <f t="shared" si="1"/>
        <v>1</v>
      </c>
      <c r="AA4" s="1">
        <v>11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0</v>
      </c>
      <c r="AK4" s="1">
        <v>1</v>
      </c>
      <c r="AL4" s="1">
        <v>0</v>
      </c>
      <c r="AM4" s="1">
        <v>4</v>
      </c>
      <c r="AO4" s="1">
        <v>1</v>
      </c>
      <c r="AP4" s="1">
        <v>0</v>
      </c>
      <c r="AQ4" s="1">
        <v>0</v>
      </c>
      <c r="AS4" s="1">
        <v>1</v>
      </c>
      <c r="AT4" s="1">
        <v>1</v>
      </c>
      <c r="AU4" s="1">
        <v>0</v>
      </c>
      <c r="AV4" s="1">
        <v>0</v>
      </c>
      <c r="AW4" s="1">
        <v>0</v>
      </c>
      <c r="AX4" s="1">
        <v>0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2</v>
      </c>
      <c r="BG4" s="1" t="s">
        <v>224</v>
      </c>
      <c r="BH4" s="1" t="s">
        <v>210</v>
      </c>
      <c r="BI4" s="1" t="s">
        <v>260</v>
      </c>
      <c r="BR4" s="1">
        <v>1</v>
      </c>
      <c r="BS4" s="1">
        <v>0</v>
      </c>
      <c r="BT4" s="1">
        <v>0</v>
      </c>
      <c r="BU4" s="1">
        <v>1</v>
      </c>
      <c r="BV4" s="1">
        <v>0</v>
      </c>
      <c r="BW4" s="1">
        <v>1</v>
      </c>
      <c r="BX4" s="1">
        <v>0</v>
      </c>
      <c r="BZ4" s="1">
        <v>1</v>
      </c>
      <c r="CF4" s="1">
        <f t="shared" si="2"/>
        <v>0</v>
      </c>
      <c r="CH4" s="1">
        <v>2</v>
      </c>
      <c r="CO4" s="1">
        <v>1000</v>
      </c>
      <c r="CV4" s="1">
        <v>2</v>
      </c>
      <c r="DB4" s="7">
        <f t="shared" si="3"/>
        <v>0.5</v>
      </c>
      <c r="DC4" s="5">
        <f t="shared" si="4"/>
        <v>1</v>
      </c>
      <c r="DE4" s="1">
        <v>3333</v>
      </c>
      <c r="DL4" s="1">
        <v>4</v>
      </c>
      <c r="DR4" s="1">
        <f t="shared" si="5"/>
        <v>4</v>
      </c>
      <c r="DZ4" s="1">
        <f t="shared" si="6"/>
        <v>0</v>
      </c>
      <c r="EC4" s="1">
        <v>1</v>
      </c>
      <c r="EF4" s="1">
        <f t="shared" si="7"/>
        <v>1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f t="shared" si="8"/>
        <v>0</v>
      </c>
      <c r="EP4" s="1">
        <v>1</v>
      </c>
      <c r="EV4" s="1">
        <f t="shared" si="9"/>
        <v>1</v>
      </c>
      <c r="EX4" s="1">
        <v>1</v>
      </c>
      <c r="FE4" s="1">
        <v>1</v>
      </c>
      <c r="FK4" s="1">
        <f t="shared" si="10"/>
        <v>1</v>
      </c>
      <c r="FM4" s="1">
        <v>0</v>
      </c>
      <c r="FS4" s="1">
        <f t="shared" si="11"/>
        <v>0</v>
      </c>
      <c r="FU4" s="1">
        <v>0</v>
      </c>
      <c r="GA4" s="1">
        <f t="shared" si="12"/>
        <v>0</v>
      </c>
      <c r="GJ4" s="1">
        <v>0</v>
      </c>
      <c r="GP4" s="1">
        <f t="shared" si="13"/>
        <v>0</v>
      </c>
      <c r="GR4" s="1">
        <v>2000</v>
      </c>
      <c r="GX4" s="1">
        <f t="shared" si="14"/>
        <v>2</v>
      </c>
      <c r="GZ4" s="1">
        <v>1</v>
      </c>
      <c r="HF4" s="1">
        <f t="shared" si="15"/>
        <v>1</v>
      </c>
      <c r="HH4" s="1">
        <v>11.5</v>
      </c>
      <c r="HN4" s="1">
        <f t="shared" si="16"/>
        <v>11.5</v>
      </c>
      <c r="HP4" s="1">
        <v>0</v>
      </c>
      <c r="HV4" s="1">
        <f t="shared" si="17"/>
        <v>0</v>
      </c>
      <c r="IK4" s="1">
        <v>0</v>
      </c>
      <c r="IL4" s="1">
        <v>64</v>
      </c>
      <c r="IM4" s="1">
        <v>0</v>
      </c>
      <c r="IN4" s="1">
        <v>80</v>
      </c>
      <c r="IO4" s="1">
        <v>0</v>
      </c>
    </row>
    <row r="5" spans="1:249" x14ac:dyDescent="0.25">
      <c r="A5" s="1">
        <v>4</v>
      </c>
      <c r="B5" s="1" t="s">
        <v>237</v>
      </c>
      <c r="C5" s="1" t="s">
        <v>194</v>
      </c>
      <c r="D5" s="1" t="s">
        <v>219</v>
      </c>
      <c r="E5" s="1" t="s">
        <v>227</v>
      </c>
      <c r="F5" s="1">
        <v>0</v>
      </c>
      <c r="G5" s="1">
        <v>0</v>
      </c>
      <c r="H5" s="1">
        <v>1</v>
      </c>
      <c r="I5" s="1">
        <v>55</v>
      </c>
      <c r="J5" s="1">
        <v>1</v>
      </c>
      <c r="K5" s="1">
        <v>1</v>
      </c>
      <c r="M5" s="1">
        <v>1</v>
      </c>
      <c r="N5" s="1">
        <v>1</v>
      </c>
      <c r="O5" s="1">
        <v>7</v>
      </c>
      <c r="P5" s="1">
        <v>40</v>
      </c>
      <c r="Q5" s="1">
        <v>800</v>
      </c>
      <c r="R5" s="1">
        <v>1</v>
      </c>
      <c r="S5" s="1" t="s">
        <v>242</v>
      </c>
      <c r="T5" s="1">
        <v>1</v>
      </c>
      <c r="U5" s="1">
        <v>500</v>
      </c>
      <c r="V5" s="1">
        <v>0</v>
      </c>
      <c r="X5" s="1">
        <v>2</v>
      </c>
      <c r="Y5" s="1">
        <f t="shared" si="0"/>
        <v>1</v>
      </c>
      <c r="Z5" s="1">
        <f t="shared" si="1"/>
        <v>0</v>
      </c>
      <c r="AA5" s="1">
        <v>5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0</v>
      </c>
      <c r="AK5" s="1">
        <v>1</v>
      </c>
      <c r="AL5" s="1">
        <v>0</v>
      </c>
      <c r="AM5" s="1">
        <v>6</v>
      </c>
      <c r="AO5" s="1">
        <v>1</v>
      </c>
      <c r="AP5" s="1">
        <v>0</v>
      </c>
      <c r="AQ5" s="1">
        <v>1</v>
      </c>
      <c r="AS5" s="1">
        <v>1</v>
      </c>
      <c r="AT5" s="1">
        <v>1</v>
      </c>
      <c r="AU5" s="1">
        <v>0</v>
      </c>
      <c r="AV5" s="1">
        <v>0</v>
      </c>
      <c r="AW5" s="1">
        <v>1</v>
      </c>
      <c r="AX5" s="1">
        <v>0</v>
      </c>
      <c r="AY5" s="1">
        <v>2</v>
      </c>
      <c r="AZ5" s="1">
        <v>1</v>
      </c>
      <c r="BA5" s="1">
        <v>0</v>
      </c>
      <c r="BB5" s="1">
        <v>0</v>
      </c>
      <c r="BC5" s="1">
        <v>1</v>
      </c>
      <c r="BD5" s="1">
        <v>0</v>
      </c>
      <c r="BE5" s="1">
        <v>5</v>
      </c>
      <c r="BG5" s="1" t="s">
        <v>224</v>
      </c>
      <c r="BH5" s="1" t="s">
        <v>230</v>
      </c>
      <c r="BI5" s="1" t="s">
        <v>260</v>
      </c>
      <c r="BP5" s="1" t="s">
        <v>233</v>
      </c>
      <c r="BR5" s="1">
        <v>1</v>
      </c>
      <c r="BS5" s="1">
        <v>0</v>
      </c>
      <c r="BT5" s="1">
        <v>0</v>
      </c>
      <c r="BU5" s="1">
        <v>1</v>
      </c>
      <c r="BV5" s="1">
        <v>0</v>
      </c>
      <c r="BW5" s="1">
        <v>1</v>
      </c>
      <c r="BX5" s="1">
        <v>0</v>
      </c>
      <c r="BZ5" s="1">
        <v>1</v>
      </c>
      <c r="CF5" s="1">
        <f t="shared" si="2"/>
        <v>0</v>
      </c>
      <c r="CH5" s="1">
        <v>2</v>
      </c>
      <c r="CO5" s="1">
        <v>2500</v>
      </c>
      <c r="CV5" s="1">
        <v>2</v>
      </c>
      <c r="DB5" s="7">
        <f t="shared" si="3"/>
        <v>1.25</v>
      </c>
      <c r="DC5" s="5">
        <f t="shared" si="4"/>
        <v>3</v>
      </c>
      <c r="DE5" s="1">
        <v>3000</v>
      </c>
      <c r="DL5" s="1">
        <v>6</v>
      </c>
      <c r="DR5" s="1">
        <f t="shared" si="5"/>
        <v>6</v>
      </c>
      <c r="DZ5" s="1">
        <f t="shared" si="6"/>
        <v>0</v>
      </c>
      <c r="EC5" s="1">
        <v>1</v>
      </c>
      <c r="EF5" s="1">
        <f t="shared" si="7"/>
        <v>1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f t="shared" si="8"/>
        <v>0</v>
      </c>
      <c r="EP5" s="1">
        <v>1</v>
      </c>
      <c r="EV5" s="1">
        <f t="shared" si="9"/>
        <v>1</v>
      </c>
      <c r="EX5" s="1">
        <v>1</v>
      </c>
      <c r="FE5" s="1">
        <v>1</v>
      </c>
      <c r="FK5" s="1">
        <f t="shared" si="10"/>
        <v>1</v>
      </c>
      <c r="FM5" s="1">
        <v>0</v>
      </c>
      <c r="FS5" s="1">
        <f t="shared" si="11"/>
        <v>0</v>
      </c>
      <c r="FU5" s="1">
        <v>0</v>
      </c>
      <c r="GA5" s="1">
        <f t="shared" si="12"/>
        <v>0</v>
      </c>
      <c r="GJ5" s="1">
        <v>8000</v>
      </c>
      <c r="GP5" s="1">
        <f t="shared" si="13"/>
        <v>8000</v>
      </c>
      <c r="GR5" s="1">
        <v>1000</v>
      </c>
      <c r="GX5" s="1">
        <f t="shared" si="14"/>
        <v>1</v>
      </c>
      <c r="GZ5" s="1">
        <v>1</v>
      </c>
      <c r="HF5" s="1">
        <f t="shared" si="15"/>
        <v>1</v>
      </c>
      <c r="HH5" s="1">
        <v>12.2</v>
      </c>
      <c r="HN5" s="1">
        <f t="shared" si="16"/>
        <v>12.2</v>
      </c>
      <c r="HP5" s="1">
        <v>1</v>
      </c>
      <c r="HV5" s="1">
        <f t="shared" si="17"/>
        <v>1</v>
      </c>
      <c r="HX5" s="1" t="s">
        <v>243</v>
      </c>
      <c r="IE5" s="1">
        <v>0</v>
      </c>
      <c r="IK5" s="1">
        <v>0</v>
      </c>
      <c r="IL5" s="1">
        <v>80</v>
      </c>
      <c r="IM5" s="1">
        <v>0</v>
      </c>
      <c r="IN5" s="1">
        <v>80</v>
      </c>
      <c r="IO5" s="1">
        <v>0</v>
      </c>
    </row>
    <row r="6" spans="1:249" x14ac:dyDescent="0.25">
      <c r="A6" s="1">
        <v>5</v>
      </c>
      <c r="B6" s="1" t="s">
        <v>237</v>
      </c>
      <c r="C6" s="1" t="s">
        <v>194</v>
      </c>
      <c r="D6" s="1" t="s">
        <v>219</v>
      </c>
      <c r="E6" s="1" t="s">
        <v>227</v>
      </c>
      <c r="F6" s="1">
        <v>0</v>
      </c>
      <c r="G6" s="1">
        <v>0</v>
      </c>
      <c r="H6" s="1">
        <v>1</v>
      </c>
      <c r="I6" s="1">
        <v>63</v>
      </c>
      <c r="J6" s="1">
        <v>1</v>
      </c>
      <c r="K6" s="1">
        <v>1</v>
      </c>
      <c r="M6" s="1">
        <v>1</v>
      </c>
      <c r="N6" s="1">
        <v>1</v>
      </c>
      <c r="O6" s="1">
        <v>7</v>
      </c>
      <c r="P6" s="1">
        <v>50</v>
      </c>
      <c r="Q6" s="1">
        <v>930</v>
      </c>
      <c r="R6" s="1">
        <v>1</v>
      </c>
      <c r="S6" s="1" t="s">
        <v>309</v>
      </c>
      <c r="T6" s="1">
        <v>1</v>
      </c>
      <c r="U6" s="1">
        <v>450</v>
      </c>
      <c r="V6" s="1">
        <v>0</v>
      </c>
      <c r="X6" s="1">
        <v>4</v>
      </c>
      <c r="Y6" s="1">
        <f t="shared" si="0"/>
        <v>0</v>
      </c>
      <c r="Z6" s="1">
        <f t="shared" si="1"/>
        <v>1</v>
      </c>
      <c r="AA6" s="1">
        <v>4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0</v>
      </c>
      <c r="AK6" s="1">
        <v>1</v>
      </c>
      <c r="AL6" s="1">
        <v>0</v>
      </c>
      <c r="AM6" s="1">
        <v>7</v>
      </c>
      <c r="AO6" s="1">
        <v>1</v>
      </c>
      <c r="AP6" s="1">
        <v>0</v>
      </c>
      <c r="AQ6" s="1">
        <v>1</v>
      </c>
      <c r="AS6" s="1">
        <v>1</v>
      </c>
      <c r="AT6" s="1">
        <v>1</v>
      </c>
      <c r="AU6" s="1">
        <v>0</v>
      </c>
      <c r="AV6" s="1">
        <v>0</v>
      </c>
      <c r="AW6" s="1">
        <v>1</v>
      </c>
      <c r="AX6" s="1">
        <v>0</v>
      </c>
      <c r="AY6" s="1">
        <v>3</v>
      </c>
      <c r="AZ6" s="1">
        <v>1</v>
      </c>
      <c r="BA6" s="1">
        <v>0</v>
      </c>
      <c r="BB6" s="1">
        <v>0</v>
      </c>
      <c r="BC6" s="1">
        <v>1</v>
      </c>
      <c r="BD6" s="1">
        <v>0</v>
      </c>
      <c r="BE6" s="1">
        <v>4</v>
      </c>
      <c r="BG6" s="1" t="s">
        <v>224</v>
      </c>
      <c r="BH6" s="1" t="s">
        <v>230</v>
      </c>
      <c r="BI6" s="1" t="s">
        <v>225</v>
      </c>
      <c r="BP6" s="1" t="s">
        <v>233</v>
      </c>
      <c r="BR6" s="1">
        <v>1</v>
      </c>
      <c r="BS6" s="1">
        <v>0</v>
      </c>
      <c r="BT6" s="1">
        <v>0</v>
      </c>
      <c r="BU6" s="1">
        <v>1</v>
      </c>
      <c r="BV6" s="1">
        <v>0</v>
      </c>
      <c r="BW6" s="1">
        <v>1</v>
      </c>
      <c r="BX6" s="1">
        <v>0</v>
      </c>
      <c r="BZ6" s="1">
        <v>1</v>
      </c>
      <c r="CF6" s="1">
        <f t="shared" si="2"/>
        <v>0</v>
      </c>
      <c r="CH6" s="1">
        <v>3</v>
      </c>
      <c r="CO6" s="1">
        <v>4000</v>
      </c>
      <c r="CV6" s="1">
        <v>3</v>
      </c>
      <c r="DB6" s="7">
        <f t="shared" si="3"/>
        <v>1.3333333333333333</v>
      </c>
      <c r="DC6" s="5">
        <f t="shared" si="4"/>
        <v>3</v>
      </c>
      <c r="DE6" s="1">
        <v>3000</v>
      </c>
      <c r="DL6" s="1">
        <v>5</v>
      </c>
      <c r="DR6" s="1">
        <f t="shared" si="5"/>
        <v>5</v>
      </c>
      <c r="DZ6" s="1">
        <f t="shared" si="6"/>
        <v>0</v>
      </c>
      <c r="EC6" s="1">
        <v>1</v>
      </c>
      <c r="EF6" s="1">
        <f t="shared" si="7"/>
        <v>1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f t="shared" si="8"/>
        <v>0</v>
      </c>
      <c r="EP6" s="1">
        <v>1</v>
      </c>
      <c r="EV6" s="1">
        <f t="shared" si="9"/>
        <v>1</v>
      </c>
      <c r="EX6" s="1">
        <v>1</v>
      </c>
      <c r="FE6" s="1">
        <v>1</v>
      </c>
      <c r="FK6" s="1">
        <f t="shared" si="10"/>
        <v>1</v>
      </c>
      <c r="FM6" s="1">
        <v>0</v>
      </c>
      <c r="FS6" s="1">
        <f t="shared" si="11"/>
        <v>0</v>
      </c>
      <c r="FU6" s="1">
        <v>0</v>
      </c>
      <c r="GA6" s="1">
        <f t="shared" si="12"/>
        <v>0</v>
      </c>
      <c r="GJ6" s="1">
        <v>8600</v>
      </c>
      <c r="GP6" s="1">
        <f t="shared" si="13"/>
        <v>8600</v>
      </c>
      <c r="GR6" s="1">
        <v>1000</v>
      </c>
      <c r="GX6" s="1">
        <f t="shared" si="14"/>
        <v>1</v>
      </c>
      <c r="GZ6" s="1">
        <v>1</v>
      </c>
      <c r="HF6" s="1">
        <f t="shared" si="15"/>
        <v>1</v>
      </c>
      <c r="HH6" s="1">
        <v>12.3</v>
      </c>
      <c r="HN6" s="1">
        <f t="shared" si="16"/>
        <v>12.3</v>
      </c>
      <c r="HP6" s="1">
        <v>1</v>
      </c>
      <c r="HV6" s="1">
        <f t="shared" si="17"/>
        <v>1</v>
      </c>
      <c r="HX6" s="1" t="s">
        <v>243</v>
      </c>
      <c r="IE6" s="1">
        <v>0</v>
      </c>
      <c r="IK6" s="1">
        <v>0</v>
      </c>
      <c r="IL6" s="1">
        <v>120</v>
      </c>
      <c r="IM6" s="1">
        <v>0</v>
      </c>
      <c r="IN6" s="1">
        <v>120</v>
      </c>
      <c r="IO6" s="1">
        <v>0</v>
      </c>
    </row>
    <row r="7" spans="1:249" x14ac:dyDescent="0.25">
      <c r="A7" s="1">
        <v>6</v>
      </c>
      <c r="B7" s="1" t="s">
        <v>237</v>
      </c>
      <c r="C7" s="1" t="s">
        <v>194</v>
      </c>
      <c r="D7" s="1" t="s">
        <v>219</v>
      </c>
      <c r="E7" s="1" t="s">
        <v>227</v>
      </c>
      <c r="F7" s="1">
        <v>0</v>
      </c>
      <c r="G7" s="1">
        <v>0</v>
      </c>
      <c r="H7" s="1">
        <v>1</v>
      </c>
      <c r="I7" s="1">
        <v>43</v>
      </c>
      <c r="J7" s="1">
        <v>1</v>
      </c>
      <c r="K7" s="1">
        <v>1</v>
      </c>
      <c r="M7" s="1">
        <v>0</v>
      </c>
      <c r="N7" s="1">
        <v>1</v>
      </c>
      <c r="O7" s="1">
        <v>4</v>
      </c>
      <c r="P7" s="1">
        <v>43</v>
      </c>
      <c r="Q7" s="1">
        <v>1000</v>
      </c>
      <c r="R7" s="1">
        <v>1</v>
      </c>
      <c r="S7" s="1" t="s">
        <v>310</v>
      </c>
      <c r="T7" s="1">
        <v>1</v>
      </c>
      <c r="U7" s="1">
        <v>300</v>
      </c>
      <c r="V7" s="1">
        <v>0</v>
      </c>
      <c r="X7" s="1">
        <v>5</v>
      </c>
      <c r="Y7" s="1">
        <f t="shared" si="0"/>
        <v>0</v>
      </c>
      <c r="Z7" s="1">
        <f t="shared" si="1"/>
        <v>1</v>
      </c>
      <c r="AA7" s="1">
        <v>11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0</v>
      </c>
      <c r="AK7" s="1">
        <v>0</v>
      </c>
      <c r="AL7" s="1">
        <v>0</v>
      </c>
      <c r="AM7" s="1">
        <v>5</v>
      </c>
      <c r="AO7" s="1">
        <v>1</v>
      </c>
      <c r="AP7" s="1">
        <v>0</v>
      </c>
      <c r="AQ7" s="1">
        <v>1</v>
      </c>
      <c r="AS7" s="1">
        <v>1</v>
      </c>
      <c r="AT7" s="1">
        <v>1</v>
      </c>
      <c r="AU7" s="1">
        <v>0</v>
      </c>
      <c r="AV7" s="1">
        <v>0</v>
      </c>
      <c r="AW7" s="1">
        <v>1</v>
      </c>
      <c r="AX7" s="1">
        <v>0</v>
      </c>
      <c r="AY7" s="1">
        <v>2</v>
      </c>
      <c r="AZ7" s="1">
        <v>1</v>
      </c>
      <c r="BA7" s="1">
        <v>0</v>
      </c>
      <c r="BB7" s="1">
        <v>0</v>
      </c>
      <c r="BC7" s="1">
        <v>1</v>
      </c>
      <c r="BD7" s="1">
        <v>0</v>
      </c>
      <c r="BE7" s="1">
        <v>10</v>
      </c>
      <c r="BG7" s="1" t="s">
        <v>224</v>
      </c>
      <c r="BH7" s="1" t="s">
        <v>210</v>
      </c>
      <c r="BI7" s="1" t="s">
        <v>230</v>
      </c>
      <c r="BP7" s="1" t="s">
        <v>233</v>
      </c>
      <c r="BR7" s="1">
        <v>1</v>
      </c>
      <c r="BS7" s="1">
        <v>0</v>
      </c>
      <c r="BT7" s="1">
        <v>0</v>
      </c>
      <c r="BU7" s="1">
        <v>1</v>
      </c>
      <c r="BV7" s="1">
        <v>0</v>
      </c>
      <c r="BW7" s="1">
        <v>1</v>
      </c>
      <c r="BX7" s="1">
        <v>1</v>
      </c>
      <c r="BZ7" s="1">
        <v>1</v>
      </c>
      <c r="CF7" s="1">
        <f t="shared" si="2"/>
        <v>0</v>
      </c>
      <c r="CH7" s="1">
        <v>2</v>
      </c>
      <c r="CO7" s="1">
        <v>2800</v>
      </c>
      <c r="CV7" s="1">
        <v>2</v>
      </c>
      <c r="DB7" s="7">
        <f t="shared" si="3"/>
        <v>1.4</v>
      </c>
      <c r="DC7" s="5">
        <f t="shared" si="4"/>
        <v>3</v>
      </c>
      <c r="DE7" s="1">
        <v>2000</v>
      </c>
      <c r="DL7" s="1">
        <v>4</v>
      </c>
      <c r="DR7" s="1">
        <f t="shared" si="5"/>
        <v>4</v>
      </c>
      <c r="DZ7" s="1">
        <f t="shared" si="6"/>
        <v>0</v>
      </c>
      <c r="EC7" s="1">
        <v>1</v>
      </c>
      <c r="EF7" s="1">
        <f t="shared" si="7"/>
        <v>1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f t="shared" si="8"/>
        <v>0</v>
      </c>
      <c r="EP7" s="1">
        <v>1</v>
      </c>
      <c r="EV7" s="1">
        <f t="shared" si="9"/>
        <v>1</v>
      </c>
      <c r="EX7" s="1">
        <v>1</v>
      </c>
      <c r="FE7" s="1">
        <v>1</v>
      </c>
      <c r="FK7" s="1">
        <f t="shared" si="10"/>
        <v>1</v>
      </c>
      <c r="FM7" s="1">
        <v>0</v>
      </c>
      <c r="FS7" s="1">
        <f t="shared" si="11"/>
        <v>0</v>
      </c>
      <c r="FU7" s="1">
        <v>0</v>
      </c>
      <c r="GA7" s="1">
        <f t="shared" si="12"/>
        <v>0</v>
      </c>
      <c r="GJ7" s="1">
        <v>0</v>
      </c>
      <c r="GP7" s="1">
        <f t="shared" si="13"/>
        <v>0</v>
      </c>
      <c r="GR7" s="1">
        <v>3000</v>
      </c>
      <c r="GX7" s="1">
        <f t="shared" si="14"/>
        <v>3</v>
      </c>
      <c r="GZ7" s="1">
        <v>1</v>
      </c>
      <c r="HF7" s="1">
        <f t="shared" si="15"/>
        <v>1</v>
      </c>
      <c r="HH7" s="1">
        <v>11.4</v>
      </c>
      <c r="HN7" s="1">
        <f t="shared" si="16"/>
        <v>11.4</v>
      </c>
      <c r="HP7" s="1">
        <v>0</v>
      </c>
      <c r="HV7" s="1">
        <f t="shared" si="17"/>
        <v>0</v>
      </c>
      <c r="IK7" s="1">
        <v>0</v>
      </c>
      <c r="IL7" s="1">
        <v>64</v>
      </c>
      <c r="IM7" s="1">
        <v>0</v>
      </c>
      <c r="IN7" s="1">
        <v>80</v>
      </c>
      <c r="IO7" s="1">
        <v>32</v>
      </c>
    </row>
    <row r="8" spans="1:249" x14ac:dyDescent="0.25">
      <c r="A8" s="1">
        <v>7</v>
      </c>
      <c r="B8" s="1" t="s">
        <v>234</v>
      </c>
      <c r="C8" s="1" t="s">
        <v>235</v>
      </c>
      <c r="D8" s="1" t="s">
        <v>235</v>
      </c>
      <c r="E8" s="1" t="s">
        <v>244</v>
      </c>
      <c r="F8" s="1">
        <v>0</v>
      </c>
      <c r="G8" s="1">
        <v>0</v>
      </c>
      <c r="H8" s="1">
        <v>1</v>
      </c>
      <c r="I8" s="1">
        <v>35</v>
      </c>
      <c r="J8" s="1">
        <v>1</v>
      </c>
      <c r="K8" s="1">
        <v>1</v>
      </c>
      <c r="M8" s="1">
        <v>1</v>
      </c>
      <c r="N8" s="1">
        <v>0</v>
      </c>
      <c r="O8" s="1">
        <v>4</v>
      </c>
      <c r="P8" s="1">
        <v>10</v>
      </c>
      <c r="Q8" s="1">
        <v>800</v>
      </c>
      <c r="R8" s="1">
        <v>0</v>
      </c>
      <c r="T8" s="1">
        <v>1</v>
      </c>
      <c r="U8" s="1">
        <v>300</v>
      </c>
      <c r="V8" s="1">
        <v>0</v>
      </c>
      <c r="X8" s="1">
        <v>4</v>
      </c>
      <c r="Y8" s="1">
        <f t="shared" si="0"/>
        <v>0</v>
      </c>
      <c r="Z8" s="1">
        <f t="shared" si="1"/>
        <v>1</v>
      </c>
      <c r="AA8" s="1">
        <v>7</v>
      </c>
      <c r="AC8" s="1">
        <v>0</v>
      </c>
      <c r="AD8" s="1">
        <v>0</v>
      </c>
      <c r="AE8" s="1">
        <v>1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6</v>
      </c>
      <c r="AO8" s="1">
        <v>1</v>
      </c>
      <c r="AP8" s="1">
        <v>0</v>
      </c>
      <c r="AQ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G8" s="1" t="s">
        <v>224</v>
      </c>
      <c r="BR8" s="1">
        <v>0</v>
      </c>
      <c r="BS8" s="1">
        <v>0</v>
      </c>
      <c r="BT8" s="1">
        <v>1</v>
      </c>
      <c r="BU8" s="1">
        <v>1</v>
      </c>
      <c r="BV8" s="1">
        <v>0</v>
      </c>
      <c r="BW8" s="1">
        <v>1</v>
      </c>
      <c r="BX8" s="1">
        <v>0</v>
      </c>
      <c r="BZ8" s="1">
        <v>1</v>
      </c>
      <c r="CF8" s="1">
        <f t="shared" si="2"/>
        <v>0</v>
      </c>
      <c r="CH8" s="1">
        <v>1.5</v>
      </c>
      <c r="CO8" s="1">
        <v>1500</v>
      </c>
      <c r="CV8" s="1">
        <v>1.5</v>
      </c>
      <c r="DB8" s="7">
        <f t="shared" si="3"/>
        <v>1</v>
      </c>
      <c r="DC8" s="5">
        <f t="shared" si="4"/>
        <v>3</v>
      </c>
      <c r="DE8" s="1">
        <v>3500</v>
      </c>
      <c r="DL8" s="1">
        <v>6</v>
      </c>
      <c r="DR8" s="1">
        <f t="shared" si="5"/>
        <v>6</v>
      </c>
      <c r="DT8" s="1">
        <v>1</v>
      </c>
      <c r="DZ8" s="1">
        <f t="shared" si="6"/>
        <v>1</v>
      </c>
      <c r="EC8" s="1">
        <v>1</v>
      </c>
      <c r="EF8" s="1">
        <f t="shared" si="7"/>
        <v>1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f t="shared" si="8"/>
        <v>0</v>
      </c>
      <c r="EP8" s="1">
        <v>1</v>
      </c>
      <c r="EV8" s="1">
        <f t="shared" si="9"/>
        <v>1</v>
      </c>
      <c r="EX8" s="1">
        <v>1</v>
      </c>
      <c r="FE8" s="1">
        <v>1</v>
      </c>
      <c r="FK8" s="1">
        <f t="shared" si="10"/>
        <v>1</v>
      </c>
      <c r="FM8" s="1">
        <v>0</v>
      </c>
      <c r="FS8" s="1">
        <f t="shared" si="11"/>
        <v>0</v>
      </c>
      <c r="FU8" s="1">
        <v>1</v>
      </c>
      <c r="GA8" s="1">
        <f t="shared" si="12"/>
        <v>1</v>
      </c>
      <c r="GC8" s="1" t="s">
        <v>245</v>
      </c>
      <c r="GJ8" s="1">
        <v>8000</v>
      </c>
      <c r="GP8" s="1">
        <f t="shared" si="13"/>
        <v>8000</v>
      </c>
      <c r="GR8" s="1">
        <v>3000</v>
      </c>
      <c r="GX8" s="1">
        <f t="shared" si="14"/>
        <v>3</v>
      </c>
      <c r="GZ8" s="1">
        <v>1</v>
      </c>
      <c r="HF8" s="1">
        <f t="shared" si="15"/>
        <v>1</v>
      </c>
      <c r="HH8" s="1">
        <v>14.5</v>
      </c>
      <c r="HN8" s="1">
        <f t="shared" si="16"/>
        <v>14.5</v>
      </c>
      <c r="HP8" s="1">
        <v>0</v>
      </c>
      <c r="HV8" s="1">
        <f t="shared" si="17"/>
        <v>0</v>
      </c>
      <c r="IK8" s="1">
        <v>0</v>
      </c>
      <c r="IL8" s="1">
        <v>60</v>
      </c>
      <c r="IM8" s="1">
        <v>0</v>
      </c>
      <c r="IN8" s="1">
        <v>60</v>
      </c>
      <c r="IO8" s="1">
        <v>0</v>
      </c>
    </row>
    <row r="9" spans="1:249" x14ac:dyDescent="0.25">
      <c r="A9" s="1">
        <v>8</v>
      </c>
      <c r="B9" s="1" t="s">
        <v>234</v>
      </c>
      <c r="C9" s="1" t="s">
        <v>235</v>
      </c>
      <c r="D9" s="1" t="s">
        <v>235</v>
      </c>
      <c r="E9" s="1" t="s">
        <v>246</v>
      </c>
      <c r="F9" s="1">
        <v>0</v>
      </c>
      <c r="G9" s="1">
        <v>0</v>
      </c>
      <c r="H9" s="1">
        <v>1</v>
      </c>
      <c r="I9" s="1">
        <v>52</v>
      </c>
      <c r="J9" s="1">
        <v>1</v>
      </c>
      <c r="K9" s="1">
        <v>1</v>
      </c>
      <c r="M9" s="1">
        <v>1</v>
      </c>
      <c r="N9" s="1">
        <v>0</v>
      </c>
      <c r="O9" s="1">
        <v>3</v>
      </c>
      <c r="P9" s="1">
        <v>17</v>
      </c>
      <c r="Q9" s="1">
        <v>1000</v>
      </c>
      <c r="R9" s="1">
        <v>0</v>
      </c>
      <c r="T9" s="1">
        <v>1</v>
      </c>
      <c r="U9" s="1">
        <v>350</v>
      </c>
      <c r="V9" s="1">
        <v>0</v>
      </c>
      <c r="X9" s="1">
        <v>4</v>
      </c>
      <c r="Y9" s="1">
        <f t="shared" si="0"/>
        <v>0</v>
      </c>
      <c r="Z9" s="1">
        <f t="shared" si="1"/>
        <v>1</v>
      </c>
      <c r="AA9" s="1">
        <v>9</v>
      </c>
      <c r="AC9" s="1">
        <v>0</v>
      </c>
      <c r="AD9" s="1">
        <v>0</v>
      </c>
      <c r="AE9" s="1">
        <v>1</v>
      </c>
      <c r="AF9" s="1">
        <v>0</v>
      </c>
      <c r="AG9" s="1">
        <v>1</v>
      </c>
      <c r="AH9" s="1">
        <v>1</v>
      </c>
      <c r="AI9" s="1">
        <v>1</v>
      </c>
      <c r="AJ9" s="1">
        <v>0</v>
      </c>
      <c r="AK9" s="1">
        <v>0</v>
      </c>
      <c r="AL9" s="1">
        <v>1</v>
      </c>
      <c r="AM9" s="1">
        <v>4</v>
      </c>
      <c r="AO9" s="1">
        <v>1</v>
      </c>
      <c r="AP9" s="1">
        <v>0</v>
      </c>
      <c r="AQ9" s="1">
        <v>0</v>
      </c>
      <c r="AS9" s="1">
        <v>1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2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G9" s="1" t="s">
        <v>224</v>
      </c>
      <c r="BR9" s="1">
        <v>0</v>
      </c>
      <c r="BS9" s="1">
        <v>0</v>
      </c>
      <c r="BT9" s="1">
        <v>1</v>
      </c>
      <c r="BU9" s="1">
        <v>1</v>
      </c>
      <c r="BV9" s="1">
        <v>0</v>
      </c>
      <c r="BW9" s="1">
        <v>1</v>
      </c>
      <c r="BX9" s="1">
        <v>0</v>
      </c>
      <c r="BZ9" s="1">
        <v>1</v>
      </c>
      <c r="CF9" s="1">
        <f t="shared" si="2"/>
        <v>0</v>
      </c>
      <c r="CH9" s="1">
        <v>2</v>
      </c>
      <c r="CO9" s="1">
        <v>1900</v>
      </c>
      <c r="CV9" s="1">
        <v>2</v>
      </c>
      <c r="DB9" s="7">
        <f t="shared" si="3"/>
        <v>0.95</v>
      </c>
      <c r="DC9" s="5">
        <f t="shared" si="4"/>
        <v>3</v>
      </c>
      <c r="DE9" s="1">
        <v>3500</v>
      </c>
      <c r="DL9" s="1">
        <v>8</v>
      </c>
      <c r="DR9" s="1">
        <f t="shared" si="5"/>
        <v>8</v>
      </c>
      <c r="DT9" s="1">
        <v>1</v>
      </c>
      <c r="DZ9" s="1">
        <f t="shared" si="6"/>
        <v>1</v>
      </c>
      <c r="EC9" s="1">
        <v>1</v>
      </c>
      <c r="EF9" s="1">
        <f t="shared" si="7"/>
        <v>1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f t="shared" si="8"/>
        <v>0</v>
      </c>
      <c r="EP9" s="1">
        <v>1</v>
      </c>
      <c r="EV9" s="1">
        <f t="shared" si="9"/>
        <v>1</v>
      </c>
      <c r="EX9" s="1">
        <v>1</v>
      </c>
      <c r="FE9" s="1">
        <v>1</v>
      </c>
      <c r="FK9" s="1">
        <f t="shared" si="10"/>
        <v>1</v>
      </c>
      <c r="FM9" s="1">
        <v>0</v>
      </c>
      <c r="FS9" s="1">
        <f t="shared" si="11"/>
        <v>0</v>
      </c>
      <c r="FU9" s="1">
        <v>1</v>
      </c>
      <c r="GA9" s="1">
        <f t="shared" si="12"/>
        <v>1</v>
      </c>
      <c r="GC9" s="1" t="s">
        <v>247</v>
      </c>
      <c r="GJ9" s="1">
        <v>0</v>
      </c>
      <c r="GP9" s="1">
        <f t="shared" si="13"/>
        <v>0</v>
      </c>
      <c r="GR9" s="1">
        <v>4000</v>
      </c>
      <c r="GX9" s="1">
        <f t="shared" si="14"/>
        <v>4</v>
      </c>
      <c r="GZ9" s="1">
        <v>1</v>
      </c>
      <c r="HF9" s="1">
        <f t="shared" si="15"/>
        <v>1</v>
      </c>
      <c r="HH9" s="1">
        <v>15</v>
      </c>
      <c r="HN9" s="1">
        <f t="shared" si="16"/>
        <v>15</v>
      </c>
      <c r="HP9" s="1">
        <v>0</v>
      </c>
      <c r="HV9" s="1">
        <f t="shared" si="17"/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</row>
    <row r="10" spans="1:249" x14ac:dyDescent="0.25">
      <c r="A10" s="1">
        <v>9</v>
      </c>
      <c r="B10" s="1" t="s">
        <v>234</v>
      </c>
      <c r="C10" s="1" t="s">
        <v>235</v>
      </c>
      <c r="D10" s="1" t="s">
        <v>235</v>
      </c>
      <c r="E10" s="1" t="s">
        <v>244</v>
      </c>
      <c r="F10" s="1">
        <v>0</v>
      </c>
      <c r="G10" s="1">
        <v>0</v>
      </c>
      <c r="H10" s="1">
        <v>1</v>
      </c>
      <c r="I10" s="1">
        <v>28</v>
      </c>
      <c r="J10" s="1">
        <v>1</v>
      </c>
      <c r="K10" s="1">
        <v>1</v>
      </c>
      <c r="M10" s="1">
        <v>0</v>
      </c>
      <c r="N10" s="1">
        <v>1</v>
      </c>
      <c r="O10" s="1">
        <v>2</v>
      </c>
      <c r="P10" s="1">
        <v>28</v>
      </c>
      <c r="Q10" s="1">
        <v>950</v>
      </c>
      <c r="R10" s="1">
        <v>0</v>
      </c>
      <c r="T10" s="1">
        <v>1</v>
      </c>
      <c r="U10" s="1">
        <v>350</v>
      </c>
      <c r="V10" s="1">
        <v>0</v>
      </c>
      <c r="X10" s="1">
        <v>8</v>
      </c>
      <c r="Y10" s="1">
        <f t="shared" si="0"/>
        <v>0</v>
      </c>
      <c r="Z10" s="1">
        <f t="shared" si="1"/>
        <v>0</v>
      </c>
      <c r="AA10" s="1">
        <v>13</v>
      </c>
      <c r="AC10" s="1">
        <v>0</v>
      </c>
      <c r="AD10" s="1">
        <v>0</v>
      </c>
      <c r="AE10" s="1">
        <v>1</v>
      </c>
      <c r="AF10" s="1">
        <v>0</v>
      </c>
      <c r="AG10" s="1">
        <v>1</v>
      </c>
      <c r="AH10" s="1">
        <v>0</v>
      </c>
      <c r="AI10" s="1">
        <v>1</v>
      </c>
      <c r="AJ10" s="1">
        <v>0</v>
      </c>
      <c r="AK10" s="1">
        <v>1</v>
      </c>
      <c r="AL10" s="1">
        <v>1</v>
      </c>
      <c r="AM10" s="1">
        <v>8</v>
      </c>
      <c r="AO10" s="1">
        <v>1</v>
      </c>
      <c r="AP10" s="1">
        <v>0</v>
      </c>
      <c r="AQ10" s="1">
        <v>0</v>
      </c>
      <c r="AS10" s="1">
        <v>1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1.5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G10" s="1" t="s">
        <v>224</v>
      </c>
      <c r="BR10" s="1">
        <v>0</v>
      </c>
      <c r="BS10" s="1">
        <v>0</v>
      </c>
      <c r="BT10" s="1">
        <v>1</v>
      </c>
      <c r="BU10" s="1">
        <v>1</v>
      </c>
      <c r="BV10" s="1">
        <v>0</v>
      </c>
      <c r="BW10" s="1">
        <v>1</v>
      </c>
      <c r="BX10" s="1">
        <v>0</v>
      </c>
      <c r="CD10" s="1">
        <v>1</v>
      </c>
      <c r="CF10" s="1">
        <f t="shared" si="2"/>
        <v>0</v>
      </c>
      <c r="CL10" s="1">
        <v>1.5</v>
      </c>
      <c r="CS10" s="1">
        <v>1500</v>
      </c>
      <c r="CZ10" s="1">
        <v>1.5</v>
      </c>
      <c r="DB10" s="7">
        <f t="shared" si="3"/>
        <v>1</v>
      </c>
      <c r="DC10" s="5">
        <f t="shared" si="4"/>
        <v>3</v>
      </c>
      <c r="DI10" s="1">
        <v>4000</v>
      </c>
      <c r="DP10" s="1">
        <v>5</v>
      </c>
      <c r="DR10" s="1">
        <f t="shared" si="5"/>
        <v>5</v>
      </c>
      <c r="DX10" s="1">
        <v>1</v>
      </c>
      <c r="DZ10" s="1">
        <f t="shared" si="6"/>
        <v>1</v>
      </c>
      <c r="EF10" s="1">
        <f t="shared" si="7"/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f t="shared" si="8"/>
        <v>0</v>
      </c>
      <c r="ET10" s="1">
        <v>1</v>
      </c>
      <c r="EV10" s="1">
        <f t="shared" si="9"/>
        <v>1</v>
      </c>
      <c r="FB10" s="1">
        <v>1</v>
      </c>
      <c r="FI10" s="1">
        <v>1</v>
      </c>
      <c r="FK10" s="1">
        <f t="shared" si="10"/>
        <v>1</v>
      </c>
      <c r="FQ10" s="1">
        <v>0</v>
      </c>
      <c r="FS10" s="1">
        <f t="shared" si="11"/>
        <v>0</v>
      </c>
      <c r="FY10" s="1">
        <v>0</v>
      </c>
      <c r="GA10" s="1">
        <f t="shared" si="12"/>
        <v>0</v>
      </c>
      <c r="GN10" s="1">
        <v>0</v>
      </c>
      <c r="GP10" s="1">
        <f t="shared" si="13"/>
        <v>0</v>
      </c>
      <c r="GV10" s="1">
        <v>8000</v>
      </c>
      <c r="GX10" s="1">
        <f t="shared" si="14"/>
        <v>8</v>
      </c>
      <c r="HD10" s="1">
        <v>1</v>
      </c>
      <c r="HF10" s="1">
        <f t="shared" si="15"/>
        <v>1</v>
      </c>
      <c r="HL10" s="1">
        <v>15</v>
      </c>
      <c r="HN10" s="1">
        <f t="shared" si="16"/>
        <v>15</v>
      </c>
      <c r="HT10" s="1">
        <v>0</v>
      </c>
      <c r="HV10" s="1">
        <f t="shared" si="17"/>
        <v>0</v>
      </c>
      <c r="IK10" s="1">
        <v>0</v>
      </c>
      <c r="IL10" s="1">
        <v>60</v>
      </c>
      <c r="IM10" s="1">
        <v>0</v>
      </c>
      <c r="IN10" s="1">
        <v>60</v>
      </c>
      <c r="IO10" s="1">
        <v>0</v>
      </c>
    </row>
    <row r="11" spans="1:249" x14ac:dyDescent="0.25">
      <c r="A11" s="1">
        <v>10</v>
      </c>
      <c r="B11" s="1" t="s">
        <v>234</v>
      </c>
      <c r="C11" s="1" t="s">
        <v>235</v>
      </c>
      <c r="D11" s="1" t="s">
        <v>235</v>
      </c>
      <c r="E11" s="1" t="s">
        <v>246</v>
      </c>
      <c r="F11" s="1">
        <v>0</v>
      </c>
      <c r="G11" s="1">
        <v>0</v>
      </c>
      <c r="H11" s="1">
        <v>1</v>
      </c>
      <c r="I11" s="1">
        <v>29</v>
      </c>
      <c r="J11" s="1">
        <v>0</v>
      </c>
      <c r="K11" s="1">
        <v>0</v>
      </c>
      <c r="L11" s="1">
        <v>1</v>
      </c>
      <c r="M11" s="1">
        <v>1</v>
      </c>
      <c r="N11" s="1">
        <v>0</v>
      </c>
      <c r="O11" s="1">
        <v>2</v>
      </c>
      <c r="P11" s="1">
        <v>15</v>
      </c>
      <c r="Q11" s="1">
        <v>800</v>
      </c>
      <c r="R11" s="1">
        <v>0</v>
      </c>
      <c r="T11" s="1">
        <v>1</v>
      </c>
      <c r="U11" s="1">
        <v>400</v>
      </c>
      <c r="V11" s="1">
        <v>0</v>
      </c>
      <c r="X11" s="1">
        <v>5</v>
      </c>
      <c r="Y11" s="1">
        <f t="shared" si="0"/>
        <v>0</v>
      </c>
      <c r="Z11" s="1">
        <f t="shared" si="1"/>
        <v>1</v>
      </c>
      <c r="AA11" s="1">
        <v>11</v>
      </c>
      <c r="AC11" s="1">
        <v>0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0</v>
      </c>
      <c r="AK11" s="1">
        <v>0</v>
      </c>
      <c r="AL11" s="1">
        <v>0</v>
      </c>
      <c r="AM11" s="1">
        <v>6</v>
      </c>
      <c r="AO11" s="1">
        <v>1</v>
      </c>
      <c r="AP11" s="1">
        <v>0</v>
      </c>
      <c r="AQ11" s="1">
        <v>0</v>
      </c>
      <c r="AS11" s="1">
        <v>1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1.5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G11" s="1" t="s">
        <v>224</v>
      </c>
      <c r="BR11" s="1">
        <v>0</v>
      </c>
      <c r="BS11" s="1">
        <v>0</v>
      </c>
      <c r="BT11" s="1">
        <v>1</v>
      </c>
      <c r="BU11" s="1">
        <v>1</v>
      </c>
      <c r="BV11" s="1">
        <v>0</v>
      </c>
      <c r="BW11" s="1">
        <v>1</v>
      </c>
      <c r="BX11" s="1">
        <v>0</v>
      </c>
      <c r="CD11" s="1">
        <v>1</v>
      </c>
      <c r="CF11" s="1">
        <f t="shared" si="2"/>
        <v>0</v>
      </c>
      <c r="CL11" s="1">
        <v>1.5</v>
      </c>
      <c r="CS11" s="1">
        <v>1800</v>
      </c>
      <c r="CZ11" s="1">
        <v>1.5</v>
      </c>
      <c r="DB11" s="7">
        <f t="shared" si="3"/>
        <v>1.2</v>
      </c>
      <c r="DC11" s="5">
        <f t="shared" si="4"/>
        <v>3</v>
      </c>
      <c r="DI11" s="1">
        <v>3500</v>
      </c>
      <c r="DP11" s="1">
        <v>6</v>
      </c>
      <c r="DR11" s="1">
        <f t="shared" si="5"/>
        <v>6</v>
      </c>
      <c r="DX11" s="1">
        <v>1</v>
      </c>
      <c r="DZ11" s="1">
        <f t="shared" si="6"/>
        <v>1</v>
      </c>
      <c r="ED11" s="1">
        <v>1</v>
      </c>
      <c r="EF11" s="1">
        <f t="shared" si="7"/>
        <v>1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f t="shared" si="8"/>
        <v>0</v>
      </c>
      <c r="ET11" s="1">
        <v>0</v>
      </c>
      <c r="EV11" s="1">
        <f t="shared" si="9"/>
        <v>0</v>
      </c>
      <c r="FB11" s="1">
        <v>0</v>
      </c>
      <c r="FI11" s="1">
        <v>1</v>
      </c>
      <c r="FK11" s="1">
        <f t="shared" si="10"/>
        <v>1</v>
      </c>
      <c r="FQ11" s="1">
        <v>0</v>
      </c>
      <c r="FS11" s="1">
        <f t="shared" si="11"/>
        <v>0</v>
      </c>
      <c r="FY11" s="1">
        <v>0</v>
      </c>
      <c r="GA11" s="1">
        <f t="shared" si="12"/>
        <v>0</v>
      </c>
      <c r="GN11" s="1">
        <v>0</v>
      </c>
      <c r="GP11" s="1">
        <f t="shared" si="13"/>
        <v>0</v>
      </c>
      <c r="GV11" s="1">
        <v>10000</v>
      </c>
      <c r="GX11" s="1">
        <f t="shared" si="14"/>
        <v>10</v>
      </c>
      <c r="HD11" s="1">
        <v>1</v>
      </c>
      <c r="HF11" s="1">
        <f t="shared" si="15"/>
        <v>1</v>
      </c>
      <c r="HL11" s="1">
        <v>14.8</v>
      </c>
      <c r="HN11" s="1">
        <f t="shared" si="16"/>
        <v>14.8</v>
      </c>
      <c r="HT11" s="1">
        <v>0</v>
      </c>
      <c r="HV11" s="1">
        <f t="shared" si="17"/>
        <v>0</v>
      </c>
      <c r="IK11" s="1">
        <v>0</v>
      </c>
      <c r="IL11" s="1">
        <v>60</v>
      </c>
      <c r="IM11" s="1">
        <v>0</v>
      </c>
      <c r="IN11" s="1">
        <v>60</v>
      </c>
      <c r="IO11" s="1">
        <v>0</v>
      </c>
    </row>
    <row r="12" spans="1:249" x14ac:dyDescent="0.25">
      <c r="A12" s="1">
        <v>11</v>
      </c>
      <c r="B12" s="1" t="s">
        <v>234</v>
      </c>
      <c r="C12" s="1" t="s">
        <v>235</v>
      </c>
      <c r="D12" s="1" t="s">
        <v>235</v>
      </c>
      <c r="E12" s="1" t="s">
        <v>246</v>
      </c>
      <c r="F12" s="1">
        <v>0</v>
      </c>
      <c r="G12" s="1">
        <v>0</v>
      </c>
      <c r="H12" s="1">
        <v>1</v>
      </c>
      <c r="I12" s="1">
        <v>29</v>
      </c>
      <c r="J12" s="1">
        <v>1</v>
      </c>
      <c r="K12" s="1">
        <v>1</v>
      </c>
      <c r="M12" s="1">
        <v>0</v>
      </c>
      <c r="N12" s="1">
        <v>1</v>
      </c>
      <c r="O12" s="1">
        <v>3</v>
      </c>
      <c r="P12" s="1">
        <v>29</v>
      </c>
      <c r="Q12" s="1">
        <v>850</v>
      </c>
      <c r="R12" s="1">
        <v>0</v>
      </c>
      <c r="T12" s="1">
        <v>1</v>
      </c>
      <c r="U12" s="1">
        <v>400</v>
      </c>
      <c r="V12" s="1">
        <v>0</v>
      </c>
      <c r="X12" s="1">
        <v>5</v>
      </c>
      <c r="Y12" s="1">
        <f t="shared" si="0"/>
        <v>0</v>
      </c>
      <c r="Z12" s="1">
        <f t="shared" si="1"/>
        <v>1</v>
      </c>
      <c r="AA12" s="1">
        <v>11</v>
      </c>
      <c r="AC12" s="1">
        <v>0</v>
      </c>
      <c r="AD12" s="1">
        <v>0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0</v>
      </c>
      <c r="AK12" s="1">
        <v>1</v>
      </c>
      <c r="AL12" s="1">
        <v>1</v>
      </c>
      <c r="AM12" s="1">
        <v>7</v>
      </c>
      <c r="AO12" s="1">
        <v>1</v>
      </c>
      <c r="AP12" s="1">
        <v>0</v>
      </c>
      <c r="AQ12" s="1">
        <v>0</v>
      </c>
      <c r="AS12" s="1">
        <v>1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1.5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G12" s="1" t="s">
        <v>224</v>
      </c>
      <c r="BR12" s="1">
        <v>0</v>
      </c>
      <c r="BS12" s="1">
        <v>0</v>
      </c>
      <c r="BT12" s="1">
        <v>1</v>
      </c>
      <c r="BU12" s="1">
        <v>1</v>
      </c>
      <c r="BV12" s="1">
        <v>1</v>
      </c>
      <c r="BW12" s="1">
        <v>1</v>
      </c>
      <c r="BX12" s="1">
        <v>0</v>
      </c>
      <c r="BZ12" s="1">
        <v>1</v>
      </c>
      <c r="CF12" s="1">
        <f t="shared" si="2"/>
        <v>0</v>
      </c>
      <c r="CH12" s="1">
        <v>1.5</v>
      </c>
      <c r="CO12" s="1">
        <v>2000</v>
      </c>
      <c r="CV12" s="1">
        <v>1.5</v>
      </c>
      <c r="DB12" s="7">
        <f t="shared" si="3"/>
        <v>1.3333333333333333</v>
      </c>
      <c r="DC12" s="5">
        <f t="shared" si="4"/>
        <v>3</v>
      </c>
      <c r="DE12" s="1">
        <v>3200</v>
      </c>
      <c r="DL12" s="1">
        <v>7</v>
      </c>
      <c r="DR12" s="1">
        <f t="shared" si="5"/>
        <v>7</v>
      </c>
      <c r="DT12" s="1">
        <v>1</v>
      </c>
      <c r="DZ12" s="1">
        <f t="shared" si="6"/>
        <v>1</v>
      </c>
      <c r="EF12" s="1">
        <f t="shared" si="7"/>
        <v>0</v>
      </c>
      <c r="EH12" s="1">
        <v>1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f t="shared" si="8"/>
        <v>1</v>
      </c>
      <c r="EP12" s="1">
        <v>1</v>
      </c>
      <c r="EV12" s="1">
        <f t="shared" si="9"/>
        <v>1</v>
      </c>
      <c r="EX12" s="1">
        <v>1</v>
      </c>
      <c r="FE12" s="1">
        <v>1</v>
      </c>
      <c r="FK12" s="1">
        <f t="shared" si="10"/>
        <v>1</v>
      </c>
      <c r="FM12" s="1">
        <v>0</v>
      </c>
      <c r="FS12" s="1">
        <f t="shared" si="11"/>
        <v>0</v>
      </c>
      <c r="FU12" s="1">
        <v>0</v>
      </c>
      <c r="GA12" s="1">
        <f t="shared" si="12"/>
        <v>0</v>
      </c>
      <c r="GJ12" s="1">
        <v>8000</v>
      </c>
      <c r="GP12" s="1">
        <f t="shared" si="13"/>
        <v>8000</v>
      </c>
      <c r="GR12" s="1">
        <v>4000</v>
      </c>
      <c r="GX12" s="1">
        <f t="shared" si="14"/>
        <v>4</v>
      </c>
      <c r="GZ12" s="1">
        <v>1</v>
      </c>
      <c r="HF12" s="1">
        <f t="shared" si="15"/>
        <v>1</v>
      </c>
      <c r="HH12" s="1">
        <v>15.2</v>
      </c>
      <c r="HN12" s="1">
        <f t="shared" si="16"/>
        <v>15.2</v>
      </c>
      <c r="HP12" s="1">
        <v>0</v>
      </c>
      <c r="HV12" s="1">
        <f t="shared" si="17"/>
        <v>0</v>
      </c>
      <c r="IK12" s="1">
        <v>0</v>
      </c>
      <c r="IL12" s="1">
        <v>0</v>
      </c>
      <c r="IM12" s="1">
        <v>0</v>
      </c>
      <c r="IN12" s="1">
        <v>60</v>
      </c>
      <c r="IO12" s="1">
        <v>0</v>
      </c>
    </row>
    <row r="13" spans="1:249" x14ac:dyDescent="0.25">
      <c r="A13" s="1">
        <v>12</v>
      </c>
      <c r="B13" s="1" t="s">
        <v>234</v>
      </c>
      <c r="C13" s="1" t="s">
        <v>235</v>
      </c>
      <c r="D13" s="1" t="s">
        <v>235</v>
      </c>
      <c r="E13" s="1" t="s">
        <v>246</v>
      </c>
      <c r="F13" s="1">
        <v>0</v>
      </c>
      <c r="G13" s="1">
        <v>0</v>
      </c>
      <c r="H13" s="1">
        <v>1</v>
      </c>
      <c r="I13" s="1">
        <v>34</v>
      </c>
      <c r="J13" s="1">
        <v>1</v>
      </c>
      <c r="K13" s="1">
        <v>1</v>
      </c>
      <c r="M13" s="1">
        <v>1</v>
      </c>
      <c r="N13" s="1">
        <v>1</v>
      </c>
      <c r="O13" s="1">
        <v>3</v>
      </c>
      <c r="P13" s="1">
        <v>15</v>
      </c>
      <c r="Q13" s="1">
        <v>930</v>
      </c>
      <c r="R13" s="1">
        <v>0</v>
      </c>
      <c r="T13" s="1">
        <v>1</v>
      </c>
      <c r="U13" s="1">
        <v>450</v>
      </c>
      <c r="V13" s="1">
        <v>0</v>
      </c>
      <c r="X13" s="1">
        <v>5</v>
      </c>
      <c r="Y13" s="1">
        <f t="shared" si="0"/>
        <v>0</v>
      </c>
      <c r="Z13" s="1">
        <f t="shared" si="1"/>
        <v>1</v>
      </c>
      <c r="AA13" s="1">
        <v>11</v>
      </c>
      <c r="AC13" s="1">
        <v>0</v>
      </c>
      <c r="AD13" s="1">
        <v>0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0</v>
      </c>
      <c r="AK13" s="1">
        <v>1</v>
      </c>
      <c r="AL13" s="1">
        <v>1</v>
      </c>
      <c r="AM13" s="1">
        <v>7</v>
      </c>
      <c r="AO13" s="1">
        <v>1</v>
      </c>
      <c r="AP13" s="1">
        <v>0</v>
      </c>
      <c r="AQ13" s="1">
        <v>0</v>
      </c>
      <c r="AS13" s="1">
        <v>1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2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G13" s="1" t="s">
        <v>224</v>
      </c>
      <c r="BR13" s="1">
        <v>0</v>
      </c>
      <c r="BS13" s="1">
        <v>0</v>
      </c>
      <c r="BT13" s="1">
        <v>1</v>
      </c>
      <c r="BU13" s="1">
        <v>1</v>
      </c>
      <c r="BV13" s="1">
        <v>1</v>
      </c>
      <c r="BW13" s="1">
        <v>1</v>
      </c>
      <c r="BX13" s="1">
        <v>0</v>
      </c>
      <c r="BZ13" s="1">
        <v>1</v>
      </c>
      <c r="CF13" s="1">
        <f t="shared" si="2"/>
        <v>0</v>
      </c>
      <c r="CH13" s="1">
        <v>2</v>
      </c>
      <c r="CO13" s="1">
        <v>2000</v>
      </c>
      <c r="CV13" s="1">
        <v>2</v>
      </c>
      <c r="DB13" s="7">
        <f t="shared" si="3"/>
        <v>1</v>
      </c>
      <c r="DC13" s="5">
        <f t="shared" si="4"/>
        <v>3</v>
      </c>
      <c r="DE13" s="1">
        <v>3000</v>
      </c>
      <c r="DL13" s="1">
        <v>6</v>
      </c>
      <c r="DR13" s="1">
        <f t="shared" si="5"/>
        <v>6</v>
      </c>
      <c r="DT13" s="1">
        <v>1</v>
      </c>
      <c r="DZ13" s="1">
        <f t="shared" si="6"/>
        <v>1</v>
      </c>
      <c r="EF13" s="1">
        <f t="shared" si="7"/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f t="shared" si="8"/>
        <v>0</v>
      </c>
      <c r="EP13" s="1">
        <v>0</v>
      </c>
      <c r="EV13" s="1">
        <f t="shared" si="9"/>
        <v>0</v>
      </c>
      <c r="EX13" s="1">
        <v>0</v>
      </c>
      <c r="FE13" s="1">
        <v>1</v>
      </c>
      <c r="FK13" s="1">
        <f t="shared" si="10"/>
        <v>1</v>
      </c>
      <c r="FM13" s="1">
        <v>0</v>
      </c>
      <c r="FS13" s="1">
        <f t="shared" si="11"/>
        <v>0</v>
      </c>
      <c r="FU13" s="1">
        <v>0</v>
      </c>
      <c r="GA13" s="1">
        <f t="shared" si="12"/>
        <v>0</v>
      </c>
      <c r="GJ13" s="1">
        <v>0</v>
      </c>
      <c r="GP13" s="1">
        <f t="shared" si="13"/>
        <v>0</v>
      </c>
      <c r="GR13" s="1">
        <v>10000</v>
      </c>
      <c r="GX13" s="1">
        <f t="shared" si="14"/>
        <v>10</v>
      </c>
      <c r="GZ13" s="1">
        <v>1</v>
      </c>
      <c r="HF13" s="1">
        <f t="shared" si="15"/>
        <v>1</v>
      </c>
      <c r="HH13" s="1">
        <v>15</v>
      </c>
      <c r="HN13" s="1">
        <f t="shared" si="16"/>
        <v>15</v>
      </c>
      <c r="HP13" s="1">
        <v>0</v>
      </c>
      <c r="HV13" s="1">
        <f t="shared" si="17"/>
        <v>0</v>
      </c>
      <c r="IK13" s="1">
        <v>0</v>
      </c>
      <c r="IL13" s="1">
        <v>80</v>
      </c>
      <c r="IM13" s="1">
        <v>16</v>
      </c>
      <c r="IN13" s="1">
        <v>80</v>
      </c>
      <c r="IO13" s="1">
        <v>0</v>
      </c>
    </row>
    <row r="14" spans="1:249" x14ac:dyDescent="0.25">
      <c r="A14" s="1">
        <v>13</v>
      </c>
      <c r="B14" s="1" t="s">
        <v>234</v>
      </c>
      <c r="C14" s="1" t="s">
        <v>235</v>
      </c>
      <c r="D14" s="1" t="s">
        <v>235</v>
      </c>
      <c r="E14" s="1" t="s">
        <v>246</v>
      </c>
      <c r="F14" s="1">
        <v>0</v>
      </c>
      <c r="G14" s="1">
        <v>0</v>
      </c>
      <c r="H14" s="1">
        <v>1</v>
      </c>
      <c r="I14" s="1">
        <v>42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3</v>
      </c>
      <c r="P14" s="1">
        <v>20</v>
      </c>
      <c r="Q14" s="1">
        <v>1000</v>
      </c>
      <c r="R14" s="1">
        <v>0</v>
      </c>
      <c r="T14" s="1">
        <v>1</v>
      </c>
      <c r="U14" s="1">
        <v>500</v>
      </c>
      <c r="V14" s="1">
        <v>0</v>
      </c>
      <c r="X14" s="1">
        <v>3</v>
      </c>
      <c r="Y14" s="1">
        <f t="shared" si="0"/>
        <v>1</v>
      </c>
      <c r="Z14" s="1">
        <f t="shared" si="1"/>
        <v>0</v>
      </c>
      <c r="AA14" s="1">
        <v>6</v>
      </c>
      <c r="AC14" s="1">
        <v>0</v>
      </c>
      <c r="AD14" s="1">
        <v>0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0</v>
      </c>
      <c r="AK14" s="1">
        <v>0</v>
      </c>
      <c r="AL14" s="1">
        <v>1</v>
      </c>
      <c r="AM14" s="1">
        <v>8</v>
      </c>
      <c r="AO14" s="1">
        <v>1</v>
      </c>
      <c r="AP14" s="1">
        <v>0</v>
      </c>
      <c r="AQ14" s="1">
        <v>0</v>
      </c>
      <c r="AS14" s="1">
        <v>1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2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G14" s="1" t="s">
        <v>224</v>
      </c>
      <c r="BR14" s="1">
        <v>0</v>
      </c>
      <c r="BS14" s="1">
        <v>0</v>
      </c>
      <c r="BT14" s="1">
        <v>1</v>
      </c>
      <c r="BU14" s="1">
        <v>1</v>
      </c>
      <c r="BV14" s="1">
        <v>0</v>
      </c>
      <c r="BW14" s="1">
        <v>1</v>
      </c>
      <c r="BX14" s="1">
        <v>0</v>
      </c>
      <c r="BZ14" s="1">
        <v>1</v>
      </c>
      <c r="CF14" s="1">
        <f t="shared" si="2"/>
        <v>0</v>
      </c>
      <c r="CH14" s="1">
        <v>2</v>
      </c>
      <c r="CO14" s="1">
        <v>2000</v>
      </c>
      <c r="CV14" s="1">
        <v>2</v>
      </c>
      <c r="DB14" s="7">
        <f t="shared" si="3"/>
        <v>1</v>
      </c>
      <c r="DC14" s="5">
        <f t="shared" si="4"/>
        <v>3</v>
      </c>
      <c r="DE14" s="1">
        <v>3500</v>
      </c>
      <c r="DL14" s="1">
        <v>6</v>
      </c>
      <c r="DR14" s="1">
        <f t="shared" si="5"/>
        <v>6</v>
      </c>
      <c r="DT14" s="1">
        <v>1</v>
      </c>
      <c r="DZ14" s="1">
        <f t="shared" si="6"/>
        <v>1</v>
      </c>
      <c r="EF14" s="1">
        <f t="shared" si="7"/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f t="shared" si="8"/>
        <v>0</v>
      </c>
      <c r="EP14" s="1">
        <v>0</v>
      </c>
      <c r="EV14" s="1">
        <f t="shared" si="9"/>
        <v>0</v>
      </c>
      <c r="EX14" s="1">
        <v>0</v>
      </c>
      <c r="FE14" s="1">
        <v>1</v>
      </c>
      <c r="FK14" s="1">
        <f t="shared" si="10"/>
        <v>1</v>
      </c>
      <c r="FM14" s="1">
        <v>0</v>
      </c>
      <c r="FS14" s="1">
        <f t="shared" si="11"/>
        <v>0</v>
      </c>
      <c r="FU14" s="1">
        <v>0</v>
      </c>
      <c r="GA14" s="1">
        <f t="shared" si="12"/>
        <v>0</v>
      </c>
      <c r="GJ14" s="1">
        <v>5000</v>
      </c>
      <c r="GP14" s="1">
        <f t="shared" si="13"/>
        <v>5000</v>
      </c>
      <c r="GR14" s="1">
        <v>2000</v>
      </c>
      <c r="GX14" s="1">
        <f t="shared" si="14"/>
        <v>2</v>
      </c>
      <c r="GZ14" s="1">
        <v>1</v>
      </c>
      <c r="HF14" s="1">
        <f t="shared" si="15"/>
        <v>1</v>
      </c>
      <c r="HH14" s="1">
        <v>12.5</v>
      </c>
      <c r="HN14" s="1">
        <f t="shared" si="16"/>
        <v>12.5</v>
      </c>
      <c r="HP14" s="1">
        <v>0</v>
      </c>
      <c r="HV14" s="1">
        <f t="shared" si="17"/>
        <v>0</v>
      </c>
      <c r="IK14" s="1">
        <v>0</v>
      </c>
      <c r="IL14" s="1">
        <v>80</v>
      </c>
      <c r="IM14" s="1">
        <v>0</v>
      </c>
      <c r="IN14" s="1">
        <v>80</v>
      </c>
      <c r="IO14" s="1">
        <v>0</v>
      </c>
    </row>
    <row r="15" spans="1:249" x14ac:dyDescent="0.25">
      <c r="A15" s="1">
        <v>14</v>
      </c>
      <c r="B15" s="1" t="s">
        <v>234</v>
      </c>
      <c r="C15" s="1" t="s">
        <v>235</v>
      </c>
      <c r="D15" s="1" t="s">
        <v>235</v>
      </c>
      <c r="E15" s="1" t="s">
        <v>246</v>
      </c>
      <c r="F15" s="1">
        <v>0</v>
      </c>
      <c r="G15" s="1">
        <v>0</v>
      </c>
      <c r="H15" s="1">
        <v>1</v>
      </c>
      <c r="I15" s="1">
        <v>30</v>
      </c>
      <c r="J15" s="1">
        <v>1</v>
      </c>
      <c r="K15" s="1">
        <v>1</v>
      </c>
      <c r="M15" s="1">
        <v>0</v>
      </c>
      <c r="N15" s="1">
        <v>1</v>
      </c>
      <c r="O15" s="1">
        <v>2</v>
      </c>
      <c r="P15" s="1">
        <v>30</v>
      </c>
      <c r="Q15" s="1">
        <v>800</v>
      </c>
      <c r="R15" s="1">
        <v>0</v>
      </c>
      <c r="T15" s="1">
        <v>1</v>
      </c>
      <c r="U15" s="1">
        <v>300</v>
      </c>
      <c r="V15" s="1">
        <v>0</v>
      </c>
      <c r="X15" s="1">
        <v>5</v>
      </c>
      <c r="Y15" s="1">
        <f t="shared" si="0"/>
        <v>0</v>
      </c>
      <c r="Z15" s="1">
        <f t="shared" si="1"/>
        <v>1</v>
      </c>
      <c r="AA15" s="1">
        <v>11</v>
      </c>
      <c r="AC15" s="1">
        <v>0</v>
      </c>
      <c r="AD15" s="1">
        <v>0</v>
      </c>
      <c r="AE15" s="1">
        <v>1</v>
      </c>
      <c r="AF15" s="1">
        <v>1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10</v>
      </c>
      <c r="AO15" s="1">
        <v>1</v>
      </c>
      <c r="AP15" s="1">
        <v>0</v>
      </c>
      <c r="AQ15" s="1">
        <v>0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G15" s="1" t="s">
        <v>224</v>
      </c>
      <c r="BR15" s="1">
        <v>0</v>
      </c>
      <c r="BS15" s="1">
        <v>0</v>
      </c>
      <c r="BT15" s="1">
        <v>1</v>
      </c>
      <c r="BU15" s="1">
        <v>1</v>
      </c>
      <c r="BV15" s="1">
        <v>0</v>
      </c>
      <c r="BW15" s="1">
        <v>1</v>
      </c>
      <c r="BX15" s="1">
        <v>0</v>
      </c>
      <c r="CD15" s="1">
        <v>1</v>
      </c>
      <c r="CF15" s="1">
        <f t="shared" si="2"/>
        <v>0</v>
      </c>
      <c r="CL15" s="1">
        <v>1</v>
      </c>
      <c r="CS15" s="1">
        <v>300</v>
      </c>
      <c r="CZ15" s="1">
        <v>0.25</v>
      </c>
      <c r="DB15" s="7">
        <f t="shared" si="3"/>
        <v>1.2</v>
      </c>
      <c r="DC15" s="5">
        <f t="shared" si="4"/>
        <v>3</v>
      </c>
      <c r="DI15" s="1">
        <v>3500</v>
      </c>
      <c r="DP15" s="1">
        <v>6</v>
      </c>
      <c r="DR15" s="1">
        <f t="shared" si="5"/>
        <v>6</v>
      </c>
      <c r="DX15" s="1">
        <v>1</v>
      </c>
      <c r="DZ15" s="1">
        <f t="shared" si="6"/>
        <v>1</v>
      </c>
      <c r="EF15" s="1">
        <f t="shared" si="7"/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f t="shared" si="8"/>
        <v>0</v>
      </c>
      <c r="ET15" s="1">
        <v>1</v>
      </c>
      <c r="EV15" s="1">
        <f t="shared" si="9"/>
        <v>1</v>
      </c>
      <c r="FB15" s="1">
        <v>1</v>
      </c>
      <c r="FI15" s="1">
        <v>1</v>
      </c>
      <c r="FK15" s="1">
        <f t="shared" si="10"/>
        <v>1</v>
      </c>
      <c r="FQ15" s="1">
        <v>0</v>
      </c>
      <c r="FS15" s="1">
        <f t="shared" si="11"/>
        <v>0</v>
      </c>
      <c r="FY15" s="1">
        <v>0</v>
      </c>
      <c r="GA15" s="1">
        <f t="shared" si="12"/>
        <v>0</v>
      </c>
      <c r="GN15" s="1">
        <v>0</v>
      </c>
      <c r="GP15" s="1">
        <f t="shared" si="13"/>
        <v>0</v>
      </c>
      <c r="GV15" s="1">
        <v>5000</v>
      </c>
      <c r="GX15" s="1">
        <f t="shared" si="14"/>
        <v>5</v>
      </c>
      <c r="HD15" s="1">
        <v>1</v>
      </c>
      <c r="HF15" s="1">
        <f t="shared" si="15"/>
        <v>1</v>
      </c>
      <c r="HL15" s="1">
        <v>14.8</v>
      </c>
      <c r="HN15" s="1">
        <f t="shared" si="16"/>
        <v>14.8</v>
      </c>
      <c r="HT15" s="1">
        <v>0</v>
      </c>
      <c r="HV15" s="1">
        <f t="shared" si="17"/>
        <v>0</v>
      </c>
      <c r="IK15" s="1">
        <v>0</v>
      </c>
      <c r="IL15" s="1">
        <v>40</v>
      </c>
      <c r="IM15" s="1">
        <v>0</v>
      </c>
      <c r="IN15" s="1">
        <v>40</v>
      </c>
      <c r="IO15" s="1">
        <v>0</v>
      </c>
    </row>
    <row r="16" spans="1:249" x14ac:dyDescent="0.25">
      <c r="A16" s="1">
        <v>15</v>
      </c>
      <c r="B16" s="1" t="s">
        <v>234</v>
      </c>
      <c r="C16" s="1" t="s">
        <v>235</v>
      </c>
      <c r="D16" s="1" t="s">
        <v>235</v>
      </c>
      <c r="E16" s="1" t="s">
        <v>244</v>
      </c>
      <c r="F16" s="1">
        <v>0</v>
      </c>
      <c r="G16" s="1">
        <v>0</v>
      </c>
      <c r="H16" s="1">
        <v>1</v>
      </c>
      <c r="I16" s="1">
        <v>40</v>
      </c>
      <c r="J16" s="1">
        <v>1</v>
      </c>
      <c r="K16" s="1">
        <v>1</v>
      </c>
      <c r="M16" s="1">
        <v>1</v>
      </c>
      <c r="N16" s="1">
        <v>0</v>
      </c>
      <c r="O16" s="1">
        <v>3</v>
      </c>
      <c r="P16" s="1">
        <v>15</v>
      </c>
      <c r="Q16" s="1">
        <v>900</v>
      </c>
      <c r="R16" s="1">
        <v>0</v>
      </c>
      <c r="T16" s="1">
        <v>1</v>
      </c>
      <c r="U16" s="1">
        <v>400</v>
      </c>
      <c r="V16" s="1">
        <v>0</v>
      </c>
      <c r="X16" s="1">
        <v>5</v>
      </c>
      <c r="Y16" s="1">
        <f t="shared" si="0"/>
        <v>0</v>
      </c>
      <c r="Z16" s="1">
        <f t="shared" si="1"/>
        <v>1</v>
      </c>
      <c r="AA16" s="1">
        <v>11</v>
      </c>
      <c r="AC16" s="1">
        <v>0</v>
      </c>
      <c r="AD16" s="1">
        <v>0</v>
      </c>
      <c r="AE16" s="1">
        <v>0</v>
      </c>
      <c r="AF16" s="1">
        <v>1</v>
      </c>
      <c r="AG16" s="1">
        <v>1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O16" s="1">
        <v>1</v>
      </c>
      <c r="AP16" s="1">
        <v>0</v>
      </c>
      <c r="AQ16" s="1">
        <v>0</v>
      </c>
      <c r="AS16" s="1">
        <v>1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G16" s="1" t="s">
        <v>224</v>
      </c>
      <c r="BR16" s="1">
        <v>0</v>
      </c>
      <c r="BS16" s="1">
        <v>0</v>
      </c>
      <c r="BT16" s="1">
        <v>1</v>
      </c>
      <c r="BU16" s="1">
        <v>1</v>
      </c>
      <c r="BV16" s="1">
        <v>0</v>
      </c>
      <c r="BW16" s="1">
        <v>1</v>
      </c>
      <c r="BX16" s="1">
        <v>0</v>
      </c>
      <c r="BZ16" s="1">
        <v>1</v>
      </c>
      <c r="CA16" s="1">
        <v>1</v>
      </c>
      <c r="CE16" s="1">
        <v>1</v>
      </c>
      <c r="CF16" s="1">
        <f t="shared" si="2"/>
        <v>1</v>
      </c>
      <c r="CH16" s="1">
        <v>1</v>
      </c>
      <c r="CI16" s="1">
        <v>0.5</v>
      </c>
      <c r="CM16" s="1">
        <v>0.5</v>
      </c>
      <c r="CO16" s="1">
        <v>800</v>
      </c>
      <c r="CP16" s="1">
        <v>500</v>
      </c>
      <c r="CV16" s="1">
        <v>1</v>
      </c>
      <c r="CW16" s="1">
        <v>0.5</v>
      </c>
      <c r="DB16" s="7">
        <f t="shared" si="3"/>
        <v>0.86666666666666659</v>
      </c>
      <c r="DC16" s="5">
        <f t="shared" si="4"/>
        <v>3</v>
      </c>
      <c r="DE16" s="1">
        <v>3000</v>
      </c>
      <c r="DF16" s="1">
        <v>1500</v>
      </c>
      <c r="DJ16" s="1">
        <v>1000</v>
      </c>
      <c r="DL16" s="1">
        <v>6</v>
      </c>
      <c r="DM16" s="1">
        <v>9</v>
      </c>
      <c r="DQ16" s="1">
        <v>1.5</v>
      </c>
      <c r="DR16" s="1">
        <f t="shared" si="5"/>
        <v>9</v>
      </c>
      <c r="DT16" s="1">
        <v>1</v>
      </c>
      <c r="DU16" s="1">
        <v>1</v>
      </c>
      <c r="DY16" s="1">
        <v>1</v>
      </c>
      <c r="DZ16" s="1">
        <f t="shared" si="6"/>
        <v>1</v>
      </c>
      <c r="EB16" s="1">
        <v>1</v>
      </c>
      <c r="EF16" s="1">
        <f t="shared" si="7"/>
        <v>1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f t="shared" si="8"/>
        <v>0</v>
      </c>
      <c r="EP16" s="1">
        <v>0</v>
      </c>
      <c r="EQ16" s="1">
        <v>0</v>
      </c>
      <c r="EU16" s="1">
        <v>0</v>
      </c>
      <c r="EV16" s="1">
        <f t="shared" si="9"/>
        <v>0</v>
      </c>
      <c r="EX16" s="1">
        <v>0</v>
      </c>
      <c r="EY16" s="1">
        <v>0</v>
      </c>
      <c r="FC16" s="1">
        <v>0</v>
      </c>
      <c r="FE16" s="1">
        <v>1</v>
      </c>
      <c r="FF16" s="1">
        <v>1</v>
      </c>
      <c r="FJ16" s="1">
        <v>1</v>
      </c>
      <c r="FK16" s="1">
        <f t="shared" si="10"/>
        <v>1</v>
      </c>
      <c r="FM16" s="1">
        <v>0</v>
      </c>
      <c r="FN16" s="1">
        <v>0</v>
      </c>
      <c r="FR16" s="1">
        <v>0</v>
      </c>
      <c r="FS16" s="1">
        <f t="shared" si="11"/>
        <v>0</v>
      </c>
      <c r="FU16" s="1">
        <v>0</v>
      </c>
      <c r="FV16" s="1">
        <v>0</v>
      </c>
      <c r="FZ16" s="1">
        <v>0</v>
      </c>
      <c r="GA16" s="1">
        <f t="shared" si="12"/>
        <v>0</v>
      </c>
      <c r="GJ16" s="1">
        <v>0</v>
      </c>
      <c r="GK16" s="1">
        <v>0</v>
      </c>
      <c r="GO16" s="1">
        <v>0</v>
      </c>
      <c r="GP16" s="1">
        <f t="shared" si="13"/>
        <v>0</v>
      </c>
      <c r="GR16" s="1">
        <v>6000</v>
      </c>
      <c r="GS16" s="1">
        <v>3000</v>
      </c>
      <c r="GW16" s="1">
        <v>3000</v>
      </c>
      <c r="GX16" s="1">
        <f t="shared" si="14"/>
        <v>12</v>
      </c>
      <c r="GZ16" s="1">
        <v>1</v>
      </c>
      <c r="HA16" s="1">
        <v>1</v>
      </c>
      <c r="HE16" s="1">
        <v>0</v>
      </c>
      <c r="HF16" s="1">
        <f t="shared" si="15"/>
        <v>1</v>
      </c>
      <c r="HH16" s="1">
        <v>14.7</v>
      </c>
      <c r="HI16" s="1">
        <v>14.7</v>
      </c>
      <c r="HN16" s="1">
        <f t="shared" si="16"/>
        <v>14.7</v>
      </c>
      <c r="HP16" s="1">
        <v>0</v>
      </c>
      <c r="HQ16" s="1">
        <v>0</v>
      </c>
      <c r="HU16" s="1">
        <v>0</v>
      </c>
      <c r="HV16" s="1">
        <f t="shared" si="17"/>
        <v>0</v>
      </c>
      <c r="IK16" s="1">
        <v>0</v>
      </c>
      <c r="IL16" s="1">
        <v>32</v>
      </c>
      <c r="IM16" s="1">
        <v>0</v>
      </c>
      <c r="IN16" s="1">
        <v>48</v>
      </c>
      <c r="IO16" s="1">
        <v>0</v>
      </c>
    </row>
    <row r="17" spans="1:249" x14ac:dyDescent="0.25">
      <c r="A17" s="1">
        <v>16</v>
      </c>
      <c r="B17" s="1" t="s">
        <v>234</v>
      </c>
      <c r="C17" s="1" t="s">
        <v>235</v>
      </c>
      <c r="D17" s="1" t="s">
        <v>235</v>
      </c>
      <c r="E17" s="1" t="s">
        <v>244</v>
      </c>
      <c r="F17" s="1">
        <v>0</v>
      </c>
      <c r="G17" s="1">
        <v>0</v>
      </c>
      <c r="H17" s="1">
        <v>1</v>
      </c>
      <c r="I17" s="1">
        <v>28</v>
      </c>
      <c r="J17" s="1">
        <v>1</v>
      </c>
      <c r="K17" s="1">
        <v>0</v>
      </c>
      <c r="L17" s="1">
        <v>2</v>
      </c>
      <c r="M17" s="1">
        <v>1</v>
      </c>
      <c r="N17" s="1">
        <v>1</v>
      </c>
      <c r="O17" s="1">
        <v>4</v>
      </c>
      <c r="P17" s="1">
        <v>5</v>
      </c>
      <c r="Q17" s="1">
        <v>900</v>
      </c>
      <c r="R17" s="1">
        <v>0</v>
      </c>
      <c r="T17" s="1">
        <v>1</v>
      </c>
      <c r="U17" s="1">
        <v>250</v>
      </c>
      <c r="V17" s="1">
        <v>0</v>
      </c>
      <c r="X17" s="1">
        <v>5</v>
      </c>
      <c r="Y17" s="1">
        <f t="shared" si="0"/>
        <v>0</v>
      </c>
      <c r="Z17" s="1">
        <f t="shared" si="1"/>
        <v>1</v>
      </c>
      <c r="AA17" s="1">
        <v>11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4</v>
      </c>
      <c r="AO17" s="1">
        <v>1</v>
      </c>
      <c r="AP17" s="1">
        <v>0</v>
      </c>
      <c r="AQ17" s="1">
        <v>0</v>
      </c>
      <c r="AS17" s="1">
        <v>1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G17" s="1" t="s">
        <v>224</v>
      </c>
      <c r="BR17" s="1">
        <v>0</v>
      </c>
      <c r="BS17" s="1">
        <v>0</v>
      </c>
      <c r="BT17" s="1">
        <v>1</v>
      </c>
      <c r="BU17" s="1">
        <v>1</v>
      </c>
      <c r="BV17" s="1">
        <v>0</v>
      </c>
      <c r="BW17" s="1">
        <v>1</v>
      </c>
      <c r="BX17" s="1">
        <v>0</v>
      </c>
      <c r="BZ17" s="1">
        <v>1</v>
      </c>
      <c r="CA17" s="1">
        <v>1</v>
      </c>
      <c r="CF17" s="1">
        <f t="shared" si="2"/>
        <v>1</v>
      </c>
      <c r="CH17" s="1">
        <v>0.5</v>
      </c>
      <c r="CI17" s="1">
        <v>0.5</v>
      </c>
      <c r="CO17" s="1">
        <v>600</v>
      </c>
      <c r="CP17" s="1">
        <v>700</v>
      </c>
      <c r="CV17" s="1">
        <v>0.5</v>
      </c>
      <c r="CW17" s="1">
        <v>0.5</v>
      </c>
      <c r="DB17" s="7">
        <f t="shared" si="3"/>
        <v>1.3</v>
      </c>
      <c r="DC17" s="5">
        <f t="shared" si="4"/>
        <v>3</v>
      </c>
      <c r="DE17" s="1">
        <v>1800</v>
      </c>
      <c r="DF17" s="1">
        <v>1800</v>
      </c>
      <c r="DL17" s="1">
        <v>7</v>
      </c>
      <c r="DM17" s="1">
        <v>8</v>
      </c>
      <c r="DR17" s="1">
        <f t="shared" si="5"/>
        <v>8</v>
      </c>
      <c r="DT17" s="1">
        <v>1</v>
      </c>
      <c r="DU17" s="1">
        <v>1</v>
      </c>
      <c r="DZ17" s="1">
        <f t="shared" si="6"/>
        <v>1</v>
      </c>
      <c r="EC17" s="1">
        <v>1</v>
      </c>
      <c r="EF17" s="1">
        <f t="shared" si="7"/>
        <v>1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f t="shared" si="8"/>
        <v>0</v>
      </c>
      <c r="EP17" s="1">
        <v>1</v>
      </c>
      <c r="EQ17" s="1">
        <v>1</v>
      </c>
      <c r="EV17" s="1">
        <f t="shared" si="9"/>
        <v>1</v>
      </c>
      <c r="EX17" s="1">
        <v>1</v>
      </c>
      <c r="EY17" s="1">
        <v>1</v>
      </c>
      <c r="FE17" s="1">
        <v>1</v>
      </c>
      <c r="FF17" s="1">
        <v>1</v>
      </c>
      <c r="FK17" s="1">
        <f t="shared" si="10"/>
        <v>1</v>
      </c>
      <c r="FM17" s="1">
        <v>0</v>
      </c>
      <c r="FN17" s="1">
        <v>0</v>
      </c>
      <c r="FS17" s="1">
        <f t="shared" si="11"/>
        <v>0</v>
      </c>
      <c r="FU17" s="1">
        <v>1</v>
      </c>
      <c r="FV17" s="1">
        <v>1</v>
      </c>
      <c r="GA17" s="1">
        <f t="shared" si="12"/>
        <v>1</v>
      </c>
      <c r="GC17" s="1" t="s">
        <v>248</v>
      </c>
      <c r="GD17" s="1" t="s">
        <v>249</v>
      </c>
      <c r="GJ17" s="1">
        <v>0</v>
      </c>
      <c r="GK17" s="1">
        <v>0</v>
      </c>
      <c r="GP17" s="1">
        <f t="shared" si="13"/>
        <v>0</v>
      </c>
      <c r="GR17" s="1">
        <v>5000</v>
      </c>
      <c r="GS17" s="1">
        <v>5000</v>
      </c>
      <c r="GX17" s="1">
        <f t="shared" si="14"/>
        <v>10</v>
      </c>
      <c r="GZ17" s="1">
        <v>1</v>
      </c>
      <c r="HA17" s="1">
        <v>1</v>
      </c>
      <c r="HF17" s="1">
        <f t="shared" si="15"/>
        <v>1</v>
      </c>
      <c r="HH17" s="1">
        <v>15</v>
      </c>
      <c r="HI17" s="1">
        <v>15</v>
      </c>
      <c r="HN17" s="1">
        <f t="shared" si="16"/>
        <v>15</v>
      </c>
      <c r="HP17" s="1">
        <v>0</v>
      </c>
      <c r="HQ17" s="1">
        <v>0</v>
      </c>
      <c r="HV17" s="1">
        <f t="shared" si="17"/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</row>
    <row r="18" spans="1:249" x14ac:dyDescent="0.25">
      <c r="A18" s="1">
        <v>17</v>
      </c>
      <c r="B18" s="1" t="s">
        <v>234</v>
      </c>
      <c r="C18" s="1" t="s">
        <v>235</v>
      </c>
      <c r="D18" s="1" t="s">
        <v>235</v>
      </c>
      <c r="E18" s="1" t="s">
        <v>244</v>
      </c>
      <c r="F18" s="1">
        <v>0</v>
      </c>
      <c r="G18" s="1">
        <v>0</v>
      </c>
      <c r="H18" s="1">
        <v>1</v>
      </c>
      <c r="I18" s="1">
        <v>27</v>
      </c>
      <c r="J18" s="1">
        <v>1</v>
      </c>
      <c r="K18" s="1">
        <v>0</v>
      </c>
      <c r="L18" s="1">
        <v>2</v>
      </c>
      <c r="M18" s="1">
        <v>0</v>
      </c>
      <c r="N18" s="1">
        <v>0</v>
      </c>
      <c r="O18" s="1">
        <v>5</v>
      </c>
      <c r="P18" s="1">
        <v>27</v>
      </c>
      <c r="Q18" s="1">
        <v>930</v>
      </c>
      <c r="R18" s="1">
        <v>0</v>
      </c>
      <c r="T18" s="1">
        <v>1</v>
      </c>
      <c r="U18" s="1">
        <v>350</v>
      </c>
      <c r="V18" s="1">
        <v>0</v>
      </c>
      <c r="X18" s="1">
        <v>5</v>
      </c>
      <c r="Y18" s="1">
        <f t="shared" si="0"/>
        <v>0</v>
      </c>
      <c r="Z18" s="1">
        <f t="shared" si="1"/>
        <v>1</v>
      </c>
      <c r="AA18" s="1">
        <v>11</v>
      </c>
      <c r="AC18" s="1">
        <v>0</v>
      </c>
      <c r="AD18" s="1">
        <v>0</v>
      </c>
      <c r="AE18" s="1">
        <v>1</v>
      </c>
      <c r="AF18" s="1">
        <v>1</v>
      </c>
      <c r="AG18" s="1">
        <v>1</v>
      </c>
      <c r="AH18" s="1">
        <v>0</v>
      </c>
      <c r="AI18" s="1">
        <v>1</v>
      </c>
      <c r="AJ18" s="1">
        <v>0</v>
      </c>
      <c r="AK18" s="1">
        <v>0</v>
      </c>
      <c r="AL18" s="1">
        <v>1</v>
      </c>
      <c r="AM18" s="1">
        <v>10</v>
      </c>
      <c r="AO18" s="1">
        <v>1</v>
      </c>
      <c r="AP18" s="1">
        <v>0</v>
      </c>
      <c r="AQ18" s="1">
        <v>0</v>
      </c>
      <c r="AS18" s="1">
        <v>1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2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G18" s="1" t="s">
        <v>224</v>
      </c>
      <c r="BR18" s="1">
        <v>0</v>
      </c>
      <c r="BS18" s="1">
        <v>0</v>
      </c>
      <c r="BT18" s="1">
        <v>1</v>
      </c>
      <c r="BU18" s="1">
        <v>1</v>
      </c>
      <c r="BV18" s="1">
        <v>0</v>
      </c>
      <c r="BW18" s="1">
        <v>1</v>
      </c>
      <c r="BX18" s="1">
        <v>0</v>
      </c>
      <c r="BZ18" s="1">
        <v>1</v>
      </c>
      <c r="CF18" s="1">
        <f t="shared" si="2"/>
        <v>0</v>
      </c>
      <c r="CH18" s="1">
        <v>2</v>
      </c>
      <c r="CO18" s="1">
        <v>1700</v>
      </c>
      <c r="CV18" s="1">
        <v>2</v>
      </c>
      <c r="DB18" s="7">
        <f t="shared" si="3"/>
        <v>0.85</v>
      </c>
      <c r="DC18" s="5">
        <f t="shared" si="4"/>
        <v>3</v>
      </c>
      <c r="DE18" s="1">
        <v>6000</v>
      </c>
      <c r="DL18" s="1">
        <v>6</v>
      </c>
      <c r="DR18" s="1">
        <f t="shared" si="5"/>
        <v>6</v>
      </c>
      <c r="DZ18" s="1">
        <f t="shared" si="6"/>
        <v>0</v>
      </c>
      <c r="EC18" s="1">
        <v>1</v>
      </c>
      <c r="EF18" s="1">
        <f t="shared" si="7"/>
        <v>1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f t="shared" si="8"/>
        <v>0</v>
      </c>
      <c r="EP18" s="1">
        <v>0</v>
      </c>
      <c r="EV18" s="1">
        <f t="shared" si="9"/>
        <v>0</v>
      </c>
      <c r="EX18" s="1">
        <v>0</v>
      </c>
      <c r="FE18" s="1">
        <v>1</v>
      </c>
      <c r="FK18" s="1">
        <f t="shared" si="10"/>
        <v>1</v>
      </c>
      <c r="FM18" s="1">
        <v>0</v>
      </c>
      <c r="FS18" s="1">
        <f t="shared" si="11"/>
        <v>0</v>
      </c>
      <c r="FU18" s="1">
        <v>1</v>
      </c>
      <c r="GA18" s="1">
        <f t="shared" si="12"/>
        <v>1</v>
      </c>
      <c r="GC18" s="1" t="s">
        <v>250</v>
      </c>
      <c r="GJ18" s="1">
        <v>0</v>
      </c>
      <c r="GP18" s="1">
        <f t="shared" si="13"/>
        <v>0</v>
      </c>
      <c r="GR18" s="1">
        <v>10000</v>
      </c>
      <c r="GX18" s="1">
        <f t="shared" si="14"/>
        <v>10</v>
      </c>
      <c r="GZ18" s="1">
        <v>1</v>
      </c>
      <c r="HF18" s="1">
        <f t="shared" si="15"/>
        <v>1</v>
      </c>
      <c r="HH18" s="1">
        <v>14.5</v>
      </c>
      <c r="HN18" s="1">
        <f t="shared" si="16"/>
        <v>14.5</v>
      </c>
      <c r="HP18" s="1">
        <v>0</v>
      </c>
      <c r="HV18" s="1">
        <f t="shared" si="17"/>
        <v>0</v>
      </c>
      <c r="IK18" s="1">
        <v>0</v>
      </c>
      <c r="IL18" s="1">
        <v>80</v>
      </c>
      <c r="IM18" s="1">
        <v>0</v>
      </c>
      <c r="IN18" s="1">
        <v>80</v>
      </c>
      <c r="IO18" s="1">
        <v>0</v>
      </c>
    </row>
    <row r="19" spans="1:249" x14ac:dyDescent="0.25">
      <c r="A19" s="1">
        <v>18</v>
      </c>
      <c r="B19" s="1" t="s">
        <v>234</v>
      </c>
      <c r="C19" s="1" t="s">
        <v>235</v>
      </c>
      <c r="D19" s="1" t="s">
        <v>235</v>
      </c>
      <c r="E19" s="1" t="s">
        <v>244</v>
      </c>
      <c r="F19" s="1">
        <v>0</v>
      </c>
      <c r="G19" s="1">
        <v>0</v>
      </c>
      <c r="H19" s="1">
        <v>1</v>
      </c>
      <c r="I19" s="1">
        <v>58</v>
      </c>
      <c r="J19" s="1">
        <v>1</v>
      </c>
      <c r="K19" s="1">
        <v>1</v>
      </c>
      <c r="M19" s="1">
        <v>1</v>
      </c>
      <c r="N19" s="1">
        <v>0</v>
      </c>
      <c r="O19" s="1">
        <v>4</v>
      </c>
      <c r="P19" s="1">
        <v>20</v>
      </c>
      <c r="Q19" s="1">
        <v>950</v>
      </c>
      <c r="R19" s="1">
        <v>0</v>
      </c>
      <c r="T19" s="1">
        <v>1</v>
      </c>
      <c r="U19" s="1">
        <v>250</v>
      </c>
      <c r="V19" s="1">
        <v>1</v>
      </c>
      <c r="W19" s="1" t="s">
        <v>251</v>
      </c>
      <c r="X19" s="1">
        <v>2</v>
      </c>
      <c r="Y19" s="1">
        <f t="shared" si="0"/>
        <v>1</v>
      </c>
      <c r="Z19" s="1">
        <f t="shared" si="1"/>
        <v>0</v>
      </c>
      <c r="AA19" s="1">
        <v>3</v>
      </c>
      <c r="AC19" s="1">
        <v>0</v>
      </c>
      <c r="AD19" s="1">
        <v>0</v>
      </c>
      <c r="AE19" s="1">
        <v>1</v>
      </c>
      <c r="AF19" s="1">
        <v>1</v>
      </c>
      <c r="AG19" s="1">
        <v>1</v>
      </c>
      <c r="AH19" s="1">
        <v>0</v>
      </c>
      <c r="AI19" s="1">
        <v>1</v>
      </c>
      <c r="AJ19" s="1">
        <v>0</v>
      </c>
      <c r="AK19" s="1">
        <v>0</v>
      </c>
      <c r="AL19" s="1">
        <v>0</v>
      </c>
      <c r="AM19" s="1">
        <v>0</v>
      </c>
      <c r="AO19" s="1">
        <v>1</v>
      </c>
      <c r="AP19" s="1">
        <v>0</v>
      </c>
      <c r="AQ19" s="1">
        <v>0</v>
      </c>
      <c r="AS19" s="1">
        <v>1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2.5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2</v>
      </c>
      <c r="BG19" s="1" t="s">
        <v>224</v>
      </c>
      <c r="BH19" s="1" t="s">
        <v>210</v>
      </c>
      <c r="BI19" s="1" t="s">
        <v>252</v>
      </c>
      <c r="BR19" s="1">
        <v>1</v>
      </c>
      <c r="BS19" s="1">
        <v>0</v>
      </c>
      <c r="BT19" s="1">
        <v>1</v>
      </c>
      <c r="BU19" s="1">
        <v>1</v>
      </c>
      <c r="BV19" s="1">
        <v>1</v>
      </c>
      <c r="BW19" s="1">
        <v>1</v>
      </c>
      <c r="BX19" s="1">
        <v>0</v>
      </c>
      <c r="BZ19" s="1">
        <v>1</v>
      </c>
      <c r="CD19" s="1">
        <v>1</v>
      </c>
      <c r="CF19" s="1">
        <f t="shared" si="2"/>
        <v>1</v>
      </c>
      <c r="CH19" s="1">
        <v>1</v>
      </c>
      <c r="CL19" s="1">
        <v>1.5</v>
      </c>
      <c r="CO19" s="1">
        <v>1000</v>
      </c>
      <c r="CS19" s="1">
        <v>1500</v>
      </c>
      <c r="CV19" s="1">
        <v>1</v>
      </c>
      <c r="CZ19" s="1">
        <v>1.5</v>
      </c>
      <c r="DB19" s="7">
        <f t="shared" si="3"/>
        <v>1</v>
      </c>
      <c r="DC19" s="5">
        <f t="shared" si="4"/>
        <v>3</v>
      </c>
      <c r="DE19" s="1">
        <v>3000</v>
      </c>
      <c r="DI19" s="1">
        <v>4000</v>
      </c>
      <c r="DL19" s="1">
        <v>6</v>
      </c>
      <c r="DP19" s="1">
        <v>6</v>
      </c>
      <c r="DR19" s="1">
        <f t="shared" si="5"/>
        <v>6</v>
      </c>
      <c r="DT19" s="1">
        <v>1</v>
      </c>
      <c r="DX19" s="1">
        <v>1</v>
      </c>
      <c r="DZ19" s="1">
        <f t="shared" si="6"/>
        <v>1</v>
      </c>
      <c r="EB19" s="1">
        <v>1</v>
      </c>
      <c r="EC19" s="1">
        <v>1</v>
      </c>
      <c r="EF19" s="1">
        <f t="shared" si="7"/>
        <v>1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f t="shared" si="8"/>
        <v>0</v>
      </c>
      <c r="EP19" s="1">
        <v>0</v>
      </c>
      <c r="ET19" s="1">
        <v>0</v>
      </c>
      <c r="EV19" s="1">
        <f t="shared" si="9"/>
        <v>0</v>
      </c>
      <c r="EX19" s="1">
        <v>1</v>
      </c>
      <c r="FB19" s="1">
        <v>1</v>
      </c>
      <c r="FE19" s="1">
        <v>1</v>
      </c>
      <c r="FI19" s="1">
        <v>1</v>
      </c>
      <c r="FK19" s="1">
        <f t="shared" si="10"/>
        <v>1</v>
      </c>
      <c r="FM19" s="1">
        <v>0</v>
      </c>
      <c r="FQ19" s="1">
        <v>0</v>
      </c>
      <c r="FS19" s="1">
        <f t="shared" si="11"/>
        <v>0</v>
      </c>
      <c r="FU19" s="1">
        <v>1</v>
      </c>
      <c r="FY19" s="1">
        <v>1</v>
      </c>
      <c r="GA19" s="1">
        <f t="shared" si="12"/>
        <v>1</v>
      </c>
      <c r="GC19" s="1" t="s">
        <v>253</v>
      </c>
      <c r="GG19" s="1" t="s">
        <v>253</v>
      </c>
      <c r="GJ19" s="1">
        <v>0</v>
      </c>
      <c r="GN19" s="1">
        <v>0</v>
      </c>
      <c r="GP19" s="1">
        <f t="shared" si="13"/>
        <v>0</v>
      </c>
      <c r="GR19" s="1">
        <v>8000</v>
      </c>
      <c r="GV19" s="1">
        <v>10000</v>
      </c>
      <c r="GX19" s="1">
        <f t="shared" si="14"/>
        <v>18</v>
      </c>
      <c r="GZ19" s="1">
        <v>1</v>
      </c>
      <c r="HD19" s="1">
        <v>1</v>
      </c>
      <c r="HF19" s="1">
        <f t="shared" si="15"/>
        <v>1</v>
      </c>
      <c r="HH19" s="1">
        <v>15</v>
      </c>
      <c r="HL19" s="1">
        <v>15</v>
      </c>
      <c r="HN19" s="1">
        <f t="shared" si="16"/>
        <v>15</v>
      </c>
      <c r="HP19" s="1">
        <v>0</v>
      </c>
      <c r="HT19" s="1">
        <v>0</v>
      </c>
      <c r="HV19" s="1">
        <f t="shared" si="17"/>
        <v>0</v>
      </c>
      <c r="IK19" s="1">
        <v>0</v>
      </c>
      <c r="IL19" s="1">
        <v>100</v>
      </c>
      <c r="IM19" s="1">
        <v>20</v>
      </c>
      <c r="IN19" s="1">
        <v>100</v>
      </c>
      <c r="IO19" s="1">
        <v>0</v>
      </c>
    </row>
    <row r="20" spans="1:249" x14ac:dyDescent="0.25">
      <c r="A20" s="1">
        <v>19</v>
      </c>
      <c r="B20" s="1" t="s">
        <v>234</v>
      </c>
      <c r="C20" s="1" t="s">
        <v>235</v>
      </c>
      <c r="D20" s="1" t="s">
        <v>235</v>
      </c>
      <c r="E20" s="1" t="s">
        <v>244</v>
      </c>
      <c r="F20" s="1">
        <v>0</v>
      </c>
      <c r="G20" s="1">
        <v>0</v>
      </c>
      <c r="H20" s="1">
        <v>1</v>
      </c>
      <c r="I20" s="1">
        <v>48</v>
      </c>
      <c r="J20" s="1">
        <v>1</v>
      </c>
      <c r="K20" s="1">
        <v>1</v>
      </c>
      <c r="M20" s="1">
        <v>1</v>
      </c>
      <c r="N20" s="1">
        <v>0</v>
      </c>
      <c r="O20" s="1">
        <v>4</v>
      </c>
      <c r="P20" s="1">
        <v>16</v>
      </c>
      <c r="Q20" s="1">
        <v>930</v>
      </c>
      <c r="R20" s="1">
        <v>1</v>
      </c>
      <c r="S20" s="1" t="s">
        <v>242</v>
      </c>
      <c r="T20" s="1">
        <v>1</v>
      </c>
      <c r="U20" s="1">
        <v>450</v>
      </c>
      <c r="V20" s="1">
        <v>0</v>
      </c>
      <c r="X20" s="1">
        <v>4</v>
      </c>
      <c r="Y20" s="1">
        <f t="shared" si="0"/>
        <v>0</v>
      </c>
      <c r="Z20" s="1">
        <f t="shared" si="1"/>
        <v>1</v>
      </c>
      <c r="AA20" s="1">
        <v>6</v>
      </c>
      <c r="AC20" s="1">
        <v>0</v>
      </c>
      <c r="AD20" s="1">
        <v>0</v>
      </c>
      <c r="AE20" s="1">
        <v>1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1</v>
      </c>
      <c r="AL20" s="1">
        <v>0</v>
      </c>
      <c r="AM20" s="1">
        <v>0</v>
      </c>
      <c r="AO20" s="1">
        <v>1</v>
      </c>
      <c r="AP20" s="1">
        <v>0</v>
      </c>
      <c r="AQ20" s="1">
        <v>0</v>
      </c>
      <c r="AS20" s="1">
        <v>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3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1.5</v>
      </c>
      <c r="BG20" s="1" t="s">
        <v>224</v>
      </c>
      <c r="BR20" s="1">
        <v>0</v>
      </c>
      <c r="BS20" s="1">
        <v>0</v>
      </c>
      <c r="BT20" s="1">
        <v>1</v>
      </c>
      <c r="BU20" s="1">
        <v>1</v>
      </c>
      <c r="BV20" s="1">
        <v>0</v>
      </c>
      <c r="BW20" s="1">
        <v>1</v>
      </c>
      <c r="BX20" s="1">
        <v>0</v>
      </c>
      <c r="BZ20" s="1">
        <v>1</v>
      </c>
      <c r="CF20" s="1">
        <f t="shared" si="2"/>
        <v>0</v>
      </c>
      <c r="CH20" s="1">
        <v>3</v>
      </c>
      <c r="CO20" s="1">
        <v>2200</v>
      </c>
      <c r="CV20" s="1">
        <v>3</v>
      </c>
      <c r="DB20" s="7">
        <f t="shared" si="3"/>
        <v>0.73333333333333339</v>
      </c>
      <c r="DC20" s="5">
        <f t="shared" si="4"/>
        <v>2</v>
      </c>
      <c r="DE20" s="1">
        <v>3000</v>
      </c>
      <c r="DL20" s="1">
        <v>7</v>
      </c>
      <c r="DR20" s="1">
        <f t="shared" si="5"/>
        <v>7</v>
      </c>
      <c r="DT20" s="1">
        <v>1</v>
      </c>
      <c r="DZ20" s="1">
        <f t="shared" si="6"/>
        <v>1</v>
      </c>
      <c r="EC20" s="1">
        <v>1</v>
      </c>
      <c r="EF20" s="1">
        <f t="shared" si="7"/>
        <v>1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f t="shared" si="8"/>
        <v>0</v>
      </c>
      <c r="EP20" s="1">
        <v>1</v>
      </c>
      <c r="EV20" s="1">
        <f t="shared" si="9"/>
        <v>1</v>
      </c>
      <c r="EX20" s="1">
        <v>1</v>
      </c>
      <c r="FE20" s="1">
        <v>1</v>
      </c>
      <c r="FK20" s="1">
        <f t="shared" si="10"/>
        <v>1</v>
      </c>
      <c r="FM20" s="1">
        <v>0</v>
      </c>
      <c r="FS20" s="1">
        <f t="shared" si="11"/>
        <v>0</v>
      </c>
      <c r="FU20" s="1">
        <v>1</v>
      </c>
      <c r="GA20" s="1">
        <f t="shared" si="12"/>
        <v>1</v>
      </c>
      <c r="GC20" s="1" t="s">
        <v>254</v>
      </c>
      <c r="GJ20" s="1">
        <v>0</v>
      </c>
      <c r="GP20" s="1">
        <f t="shared" si="13"/>
        <v>0</v>
      </c>
      <c r="GR20" s="1">
        <v>7000</v>
      </c>
      <c r="GX20" s="1">
        <f t="shared" si="14"/>
        <v>7</v>
      </c>
      <c r="GZ20" s="1">
        <v>1</v>
      </c>
      <c r="HF20" s="1">
        <f t="shared" si="15"/>
        <v>1</v>
      </c>
      <c r="HH20" s="1">
        <v>14.5</v>
      </c>
      <c r="HN20" s="1">
        <f t="shared" si="16"/>
        <v>14.5</v>
      </c>
      <c r="HP20" s="1">
        <v>0</v>
      </c>
      <c r="HV20" s="1">
        <f t="shared" si="17"/>
        <v>0</v>
      </c>
      <c r="IK20" s="1">
        <v>0</v>
      </c>
      <c r="IL20" s="1">
        <v>0</v>
      </c>
      <c r="IM20" s="1">
        <v>0</v>
      </c>
      <c r="IN20" s="1">
        <v>120</v>
      </c>
      <c r="IO20" s="1">
        <v>0</v>
      </c>
    </row>
    <row r="21" spans="1:249" x14ac:dyDescent="0.25">
      <c r="A21" s="1">
        <v>20</v>
      </c>
      <c r="B21" s="1" t="s">
        <v>237</v>
      </c>
      <c r="C21" s="1" t="s">
        <v>194</v>
      </c>
      <c r="D21" s="1" t="s">
        <v>222</v>
      </c>
      <c r="E21" s="1" t="s">
        <v>255</v>
      </c>
      <c r="F21" s="1">
        <v>0</v>
      </c>
      <c r="G21" s="1">
        <v>1</v>
      </c>
      <c r="H21" s="1">
        <v>0</v>
      </c>
      <c r="I21" s="1">
        <v>50</v>
      </c>
      <c r="J21" s="1">
        <v>1</v>
      </c>
      <c r="K21" s="1">
        <v>1</v>
      </c>
      <c r="M21" s="1">
        <v>0</v>
      </c>
      <c r="N21" s="1">
        <v>1</v>
      </c>
      <c r="O21" s="1">
        <v>5</v>
      </c>
      <c r="P21" s="1">
        <v>30</v>
      </c>
      <c r="Q21" s="1">
        <v>700</v>
      </c>
      <c r="R21" s="1">
        <v>1</v>
      </c>
      <c r="S21" s="1" t="s">
        <v>309</v>
      </c>
      <c r="T21" s="1">
        <v>1</v>
      </c>
      <c r="U21" s="1">
        <v>600</v>
      </c>
      <c r="V21" s="1">
        <v>1</v>
      </c>
      <c r="W21" s="1" t="s">
        <v>240</v>
      </c>
      <c r="X21" s="1">
        <v>0</v>
      </c>
      <c r="Y21" s="1">
        <f t="shared" si="0"/>
        <v>0</v>
      </c>
      <c r="Z21" s="1">
        <f t="shared" si="1"/>
        <v>0</v>
      </c>
      <c r="AA21" s="1">
        <v>0</v>
      </c>
      <c r="AC21" s="1">
        <v>0</v>
      </c>
      <c r="AD21" s="1">
        <v>0</v>
      </c>
      <c r="AE21" s="1">
        <v>1</v>
      </c>
      <c r="AF21" s="1">
        <v>1</v>
      </c>
      <c r="AG21" s="1">
        <v>1</v>
      </c>
      <c r="AH21" s="1">
        <v>0</v>
      </c>
      <c r="AI21" s="1">
        <v>1</v>
      </c>
      <c r="AJ21" s="1">
        <v>0</v>
      </c>
      <c r="AK21" s="1">
        <v>0</v>
      </c>
      <c r="AL21" s="1">
        <v>0</v>
      </c>
      <c r="AM21" s="1">
        <v>3</v>
      </c>
      <c r="AO21" s="1">
        <v>1</v>
      </c>
      <c r="AP21" s="1">
        <v>0</v>
      </c>
      <c r="AQ21" s="1">
        <v>0</v>
      </c>
      <c r="AS21" s="1">
        <v>1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3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G21" s="1" t="s">
        <v>224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1</v>
      </c>
      <c r="BX21" s="1">
        <v>0</v>
      </c>
      <c r="BZ21" s="1">
        <v>1</v>
      </c>
      <c r="CF21" s="1">
        <f t="shared" si="2"/>
        <v>0</v>
      </c>
      <c r="CH21" s="1">
        <v>1</v>
      </c>
      <c r="CO21" s="1">
        <v>1500</v>
      </c>
      <c r="CV21" s="1">
        <v>1</v>
      </c>
      <c r="DB21" s="7">
        <f t="shared" si="3"/>
        <v>1.5</v>
      </c>
      <c r="DC21" s="5">
        <f t="shared" si="4"/>
        <v>3</v>
      </c>
      <c r="DE21" s="1">
        <v>3100</v>
      </c>
      <c r="DL21" s="1">
        <v>3</v>
      </c>
      <c r="DR21" s="1">
        <f t="shared" si="5"/>
        <v>3</v>
      </c>
      <c r="DZ21" s="1">
        <f t="shared" si="6"/>
        <v>0</v>
      </c>
      <c r="EB21" s="1">
        <v>1</v>
      </c>
      <c r="EC21" s="1">
        <v>1</v>
      </c>
      <c r="EF21" s="1">
        <f t="shared" si="7"/>
        <v>1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f t="shared" si="8"/>
        <v>0</v>
      </c>
      <c r="EP21" s="1">
        <v>0</v>
      </c>
      <c r="EV21" s="1">
        <f t="shared" si="9"/>
        <v>0</v>
      </c>
      <c r="EX21" s="1">
        <v>1</v>
      </c>
      <c r="FE21" s="1">
        <v>1</v>
      </c>
      <c r="FK21" s="1">
        <f t="shared" si="10"/>
        <v>1</v>
      </c>
      <c r="FM21" s="1">
        <v>0</v>
      </c>
      <c r="FS21" s="1">
        <f t="shared" si="11"/>
        <v>0</v>
      </c>
      <c r="FU21" s="1">
        <v>0</v>
      </c>
      <c r="GA21" s="1">
        <f t="shared" si="12"/>
        <v>0</v>
      </c>
      <c r="GJ21" s="1">
        <v>0</v>
      </c>
      <c r="GP21" s="1">
        <f t="shared" si="13"/>
        <v>0</v>
      </c>
      <c r="GR21" s="1">
        <v>1500</v>
      </c>
      <c r="GX21" s="1">
        <f t="shared" si="14"/>
        <v>1.5</v>
      </c>
      <c r="GZ21" s="1">
        <v>1</v>
      </c>
      <c r="HF21" s="1">
        <f t="shared" si="15"/>
        <v>1</v>
      </c>
      <c r="HH21" s="1">
        <v>13</v>
      </c>
      <c r="HN21" s="1">
        <f t="shared" si="16"/>
        <v>13</v>
      </c>
      <c r="HP21" s="1">
        <v>0</v>
      </c>
      <c r="HV21" s="1">
        <f t="shared" si="17"/>
        <v>0</v>
      </c>
      <c r="IK21" s="1">
        <v>0</v>
      </c>
      <c r="IL21" s="1">
        <v>0</v>
      </c>
      <c r="IM21" s="1">
        <v>0</v>
      </c>
      <c r="IN21" s="1">
        <v>24</v>
      </c>
      <c r="IO21" s="1">
        <v>0</v>
      </c>
    </row>
    <row r="22" spans="1:249" x14ac:dyDescent="0.25">
      <c r="A22" s="1">
        <v>21</v>
      </c>
      <c r="B22" s="1" t="s">
        <v>237</v>
      </c>
      <c r="C22" s="1" t="s">
        <v>194</v>
      </c>
      <c r="D22" s="1" t="s">
        <v>222</v>
      </c>
      <c r="E22" s="1" t="s">
        <v>255</v>
      </c>
      <c r="F22" s="1">
        <v>0</v>
      </c>
      <c r="G22" s="1">
        <v>1</v>
      </c>
      <c r="H22" s="1">
        <v>0</v>
      </c>
      <c r="I22" s="1">
        <v>30</v>
      </c>
      <c r="J22" s="1">
        <v>1</v>
      </c>
      <c r="K22" s="1">
        <v>1</v>
      </c>
      <c r="M22" s="1">
        <v>0</v>
      </c>
      <c r="N22" s="1">
        <v>1</v>
      </c>
      <c r="O22" s="1">
        <v>3</v>
      </c>
      <c r="P22" s="1">
        <v>30</v>
      </c>
      <c r="Q22" s="1">
        <v>700</v>
      </c>
      <c r="R22" s="1">
        <v>1</v>
      </c>
      <c r="S22" s="1" t="s">
        <v>309</v>
      </c>
      <c r="T22" s="1">
        <v>1</v>
      </c>
      <c r="U22" s="1">
        <v>600</v>
      </c>
      <c r="V22" s="1">
        <v>1</v>
      </c>
      <c r="W22" s="1" t="s">
        <v>240</v>
      </c>
      <c r="X22" s="1">
        <v>5</v>
      </c>
      <c r="Y22" s="1">
        <f t="shared" si="0"/>
        <v>0</v>
      </c>
      <c r="Z22" s="1">
        <f t="shared" si="1"/>
        <v>1</v>
      </c>
      <c r="AA22" s="1">
        <v>10</v>
      </c>
      <c r="AC22" s="1">
        <v>0</v>
      </c>
      <c r="AD22" s="1">
        <v>0</v>
      </c>
      <c r="AE22" s="1">
        <v>1</v>
      </c>
      <c r="AF22" s="1">
        <v>1</v>
      </c>
      <c r="AG22" s="1">
        <v>1</v>
      </c>
      <c r="AH22" s="1">
        <v>0</v>
      </c>
      <c r="AI22" s="1">
        <v>1</v>
      </c>
      <c r="AJ22" s="1">
        <v>0</v>
      </c>
      <c r="AK22" s="1">
        <v>0</v>
      </c>
      <c r="AL22" s="1">
        <v>0</v>
      </c>
      <c r="AM22" s="1">
        <v>3</v>
      </c>
      <c r="AO22" s="1">
        <v>1</v>
      </c>
      <c r="AP22" s="1">
        <v>0</v>
      </c>
      <c r="AQ22" s="1">
        <v>0</v>
      </c>
      <c r="AS22" s="1">
        <v>1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3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G22" s="1" t="s">
        <v>224</v>
      </c>
      <c r="BP22" s="1" t="s">
        <v>233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1</v>
      </c>
      <c r="BX22" s="1">
        <v>0</v>
      </c>
      <c r="BZ22" s="1">
        <v>1</v>
      </c>
      <c r="CF22" s="1">
        <f t="shared" si="2"/>
        <v>0</v>
      </c>
      <c r="CH22" s="1">
        <v>1</v>
      </c>
      <c r="CO22" s="1">
        <v>1500</v>
      </c>
      <c r="CV22" s="1">
        <v>1</v>
      </c>
      <c r="DB22" s="7">
        <f t="shared" si="3"/>
        <v>1.5</v>
      </c>
      <c r="DC22" s="5">
        <f t="shared" si="4"/>
        <v>3</v>
      </c>
      <c r="DE22" s="1">
        <v>3100</v>
      </c>
      <c r="DL22" s="1">
        <v>3</v>
      </c>
      <c r="DR22" s="1">
        <f t="shared" si="5"/>
        <v>3</v>
      </c>
      <c r="DZ22" s="1">
        <f t="shared" si="6"/>
        <v>0</v>
      </c>
      <c r="EB22" s="1">
        <v>1</v>
      </c>
      <c r="EC22" s="1">
        <v>1</v>
      </c>
      <c r="EF22" s="1">
        <f t="shared" si="7"/>
        <v>1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f t="shared" si="8"/>
        <v>0</v>
      </c>
      <c r="EP22" s="1">
        <v>1</v>
      </c>
      <c r="EV22" s="1">
        <f t="shared" si="9"/>
        <v>1</v>
      </c>
      <c r="EX22" s="1">
        <v>1</v>
      </c>
      <c r="FE22" s="1">
        <v>1</v>
      </c>
      <c r="FK22" s="1">
        <f t="shared" si="10"/>
        <v>1</v>
      </c>
      <c r="FM22" s="1">
        <v>0</v>
      </c>
      <c r="FS22" s="1">
        <f t="shared" si="11"/>
        <v>0</v>
      </c>
      <c r="FU22" s="1">
        <v>0</v>
      </c>
      <c r="GA22" s="1">
        <f t="shared" si="12"/>
        <v>0</v>
      </c>
      <c r="GJ22" s="1">
        <v>0</v>
      </c>
      <c r="GP22" s="1">
        <f t="shared" si="13"/>
        <v>0</v>
      </c>
      <c r="GR22" s="1">
        <v>1500</v>
      </c>
      <c r="GX22" s="1">
        <f t="shared" si="14"/>
        <v>1.5</v>
      </c>
      <c r="GZ22" s="1">
        <v>1</v>
      </c>
      <c r="HF22" s="1">
        <f t="shared" si="15"/>
        <v>1</v>
      </c>
      <c r="HH22" s="1">
        <v>13</v>
      </c>
      <c r="HN22" s="1">
        <f t="shared" si="16"/>
        <v>13</v>
      </c>
      <c r="HP22" s="1">
        <v>0</v>
      </c>
      <c r="HV22" s="1">
        <f t="shared" si="17"/>
        <v>0</v>
      </c>
      <c r="IK22" s="1">
        <v>0</v>
      </c>
      <c r="IL22" s="1">
        <v>0</v>
      </c>
      <c r="IM22" s="1">
        <v>0</v>
      </c>
      <c r="IN22" s="1">
        <v>24</v>
      </c>
      <c r="IO22" s="1">
        <v>0</v>
      </c>
    </row>
    <row r="23" spans="1:249" x14ac:dyDescent="0.25">
      <c r="A23" s="1">
        <v>22</v>
      </c>
      <c r="B23" s="1" t="s">
        <v>237</v>
      </c>
      <c r="C23" s="1" t="s">
        <v>194</v>
      </c>
      <c r="D23" s="1" t="s">
        <v>222</v>
      </c>
      <c r="E23" s="1" t="s">
        <v>255</v>
      </c>
      <c r="F23" s="1">
        <v>0</v>
      </c>
      <c r="G23" s="1">
        <v>1</v>
      </c>
      <c r="H23" s="1">
        <v>0</v>
      </c>
      <c r="I23" s="1">
        <v>35</v>
      </c>
      <c r="J23" s="1">
        <v>0</v>
      </c>
      <c r="K23" s="1">
        <v>1</v>
      </c>
      <c r="M23" s="1">
        <v>0</v>
      </c>
      <c r="N23" s="1">
        <v>1</v>
      </c>
      <c r="O23" s="1">
        <v>4</v>
      </c>
      <c r="P23" s="1">
        <v>20</v>
      </c>
      <c r="Q23" s="1">
        <v>700</v>
      </c>
      <c r="R23" s="1">
        <v>1</v>
      </c>
      <c r="S23" s="1" t="s">
        <v>309</v>
      </c>
      <c r="T23" s="1">
        <v>1</v>
      </c>
      <c r="U23" s="1">
        <v>600</v>
      </c>
      <c r="V23" s="1">
        <v>1</v>
      </c>
      <c r="W23" s="1" t="s">
        <v>240</v>
      </c>
      <c r="X23" s="1">
        <v>5</v>
      </c>
      <c r="Y23" s="1">
        <f t="shared" si="0"/>
        <v>0</v>
      </c>
      <c r="Z23" s="1">
        <f t="shared" si="1"/>
        <v>1</v>
      </c>
      <c r="AA23" s="1">
        <v>10</v>
      </c>
      <c r="AC23" s="1">
        <v>0</v>
      </c>
      <c r="AD23" s="1">
        <v>0</v>
      </c>
      <c r="AE23" s="1">
        <v>1</v>
      </c>
      <c r="AF23" s="1">
        <v>1</v>
      </c>
      <c r="AG23" s="1">
        <v>1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3</v>
      </c>
      <c r="AO23" s="1">
        <v>1</v>
      </c>
      <c r="AP23" s="1">
        <v>0</v>
      </c>
      <c r="AQ23" s="1">
        <v>0</v>
      </c>
      <c r="AS23" s="1">
        <v>1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2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G23" s="1" t="s">
        <v>224</v>
      </c>
      <c r="BO23" s="1" t="s">
        <v>256</v>
      </c>
      <c r="BP23" s="1" t="s">
        <v>233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1</v>
      </c>
      <c r="BX23" s="1">
        <v>0</v>
      </c>
      <c r="BZ23" s="1">
        <v>1</v>
      </c>
      <c r="CF23" s="1">
        <f t="shared" si="2"/>
        <v>0</v>
      </c>
      <c r="CH23" s="1">
        <v>1</v>
      </c>
      <c r="CO23" s="1">
        <v>1500</v>
      </c>
      <c r="CV23" s="1">
        <v>1</v>
      </c>
      <c r="DB23" s="7">
        <f t="shared" si="3"/>
        <v>1.5</v>
      </c>
      <c r="DC23" s="5">
        <f t="shared" si="4"/>
        <v>3</v>
      </c>
      <c r="DE23" s="1">
        <v>3100</v>
      </c>
      <c r="DL23" s="1">
        <v>2</v>
      </c>
      <c r="DR23" s="1">
        <f t="shared" si="5"/>
        <v>2</v>
      </c>
      <c r="DZ23" s="1">
        <f t="shared" si="6"/>
        <v>0</v>
      </c>
      <c r="EC23" s="1">
        <v>1</v>
      </c>
      <c r="EF23" s="1">
        <f t="shared" si="7"/>
        <v>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f t="shared" si="8"/>
        <v>0</v>
      </c>
      <c r="EP23" s="1">
        <v>1</v>
      </c>
      <c r="EV23" s="1">
        <f t="shared" si="9"/>
        <v>1</v>
      </c>
      <c r="EX23" s="1">
        <v>1</v>
      </c>
      <c r="FE23" s="1">
        <v>1</v>
      </c>
      <c r="FK23" s="1">
        <f t="shared" si="10"/>
        <v>1</v>
      </c>
      <c r="FM23" s="1">
        <v>0</v>
      </c>
      <c r="FS23" s="1">
        <f t="shared" si="11"/>
        <v>0</v>
      </c>
      <c r="FU23" s="1">
        <v>0</v>
      </c>
      <c r="GA23" s="1">
        <f t="shared" si="12"/>
        <v>0</v>
      </c>
      <c r="GJ23" s="1">
        <v>0</v>
      </c>
      <c r="GP23" s="1">
        <f t="shared" si="13"/>
        <v>0</v>
      </c>
      <c r="GR23" s="1">
        <v>1500</v>
      </c>
      <c r="GX23" s="1">
        <f t="shared" si="14"/>
        <v>1.5</v>
      </c>
      <c r="GZ23" s="1">
        <v>1</v>
      </c>
      <c r="HF23" s="1">
        <f t="shared" si="15"/>
        <v>1</v>
      </c>
      <c r="HH23" s="1">
        <v>13</v>
      </c>
      <c r="HN23" s="1">
        <f t="shared" si="16"/>
        <v>13</v>
      </c>
      <c r="HP23" s="1">
        <v>0</v>
      </c>
      <c r="HV23" s="1">
        <f t="shared" si="17"/>
        <v>0</v>
      </c>
      <c r="IK23" s="1">
        <v>0</v>
      </c>
      <c r="IL23" s="1">
        <v>0</v>
      </c>
      <c r="IM23" s="1">
        <v>0</v>
      </c>
      <c r="IN23" s="1">
        <v>24</v>
      </c>
      <c r="IO23" s="1">
        <v>0</v>
      </c>
    </row>
    <row r="24" spans="1:249" x14ac:dyDescent="0.25">
      <c r="A24" s="1">
        <v>23</v>
      </c>
      <c r="B24" s="1" t="s">
        <v>237</v>
      </c>
      <c r="C24" s="1" t="s">
        <v>194</v>
      </c>
      <c r="D24" s="1" t="s">
        <v>222</v>
      </c>
      <c r="E24" s="1" t="s">
        <v>255</v>
      </c>
      <c r="F24" s="1">
        <v>0</v>
      </c>
      <c r="G24" s="1">
        <v>1</v>
      </c>
      <c r="H24" s="1">
        <v>0</v>
      </c>
      <c r="I24" s="1">
        <v>37</v>
      </c>
      <c r="J24" s="1">
        <v>1</v>
      </c>
      <c r="K24" s="1">
        <v>1</v>
      </c>
      <c r="M24" s="1">
        <v>0</v>
      </c>
      <c r="N24" s="1">
        <v>1</v>
      </c>
      <c r="O24" s="1">
        <v>4</v>
      </c>
      <c r="P24" s="1">
        <v>10</v>
      </c>
      <c r="Q24" s="1">
        <v>700</v>
      </c>
      <c r="R24" s="1">
        <v>1</v>
      </c>
      <c r="S24" s="1" t="s">
        <v>309</v>
      </c>
      <c r="T24" s="1">
        <v>1</v>
      </c>
      <c r="U24" s="1">
        <v>600</v>
      </c>
      <c r="V24" s="1">
        <v>1</v>
      </c>
      <c r="W24" s="1" t="s">
        <v>240</v>
      </c>
      <c r="X24" s="1">
        <v>3</v>
      </c>
      <c r="Y24" s="1">
        <f t="shared" si="0"/>
        <v>1</v>
      </c>
      <c r="Z24" s="1">
        <f t="shared" si="1"/>
        <v>0</v>
      </c>
      <c r="AA24" s="1">
        <v>7</v>
      </c>
      <c r="AC24" s="1">
        <v>0</v>
      </c>
      <c r="AD24" s="1">
        <v>0</v>
      </c>
      <c r="AE24" s="1">
        <v>1</v>
      </c>
      <c r="AF24" s="1">
        <v>1</v>
      </c>
      <c r="AG24" s="1">
        <v>1</v>
      </c>
      <c r="AH24" s="1">
        <v>0</v>
      </c>
      <c r="AI24" s="1">
        <v>1</v>
      </c>
      <c r="AJ24" s="1">
        <v>0</v>
      </c>
      <c r="AK24" s="1">
        <v>0</v>
      </c>
      <c r="AL24" s="1">
        <v>0</v>
      </c>
      <c r="AM24" s="1">
        <v>3</v>
      </c>
      <c r="AO24" s="1">
        <v>1</v>
      </c>
      <c r="AP24" s="1">
        <v>0</v>
      </c>
      <c r="AQ24" s="1">
        <v>0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2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G24" s="1" t="s">
        <v>224</v>
      </c>
      <c r="BP24" s="1" t="s">
        <v>233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</v>
      </c>
      <c r="BX24" s="1">
        <v>0</v>
      </c>
      <c r="BZ24" s="1">
        <v>1</v>
      </c>
      <c r="CF24" s="1">
        <f t="shared" si="2"/>
        <v>0</v>
      </c>
      <c r="CH24" s="1">
        <v>1</v>
      </c>
      <c r="CO24" s="1">
        <v>1500</v>
      </c>
      <c r="CV24" s="1">
        <v>1</v>
      </c>
      <c r="DB24" s="7">
        <f t="shared" si="3"/>
        <v>1.5</v>
      </c>
      <c r="DC24" s="5">
        <f t="shared" si="4"/>
        <v>3</v>
      </c>
      <c r="DE24" s="1">
        <v>3100</v>
      </c>
      <c r="DL24" s="1">
        <v>3</v>
      </c>
      <c r="DR24" s="1">
        <f t="shared" si="5"/>
        <v>3</v>
      </c>
      <c r="DZ24" s="1">
        <f t="shared" si="6"/>
        <v>0</v>
      </c>
      <c r="EC24" s="1">
        <v>1</v>
      </c>
      <c r="EF24" s="1">
        <f t="shared" si="7"/>
        <v>1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f t="shared" si="8"/>
        <v>0</v>
      </c>
      <c r="EP24" s="1">
        <v>1</v>
      </c>
      <c r="EV24" s="1">
        <f t="shared" si="9"/>
        <v>1</v>
      </c>
      <c r="EX24" s="1">
        <v>1</v>
      </c>
      <c r="FE24" s="1">
        <v>1</v>
      </c>
      <c r="FK24" s="1">
        <f t="shared" si="10"/>
        <v>1</v>
      </c>
      <c r="FM24" s="1">
        <v>0</v>
      </c>
      <c r="FS24" s="1">
        <f t="shared" si="11"/>
        <v>0</v>
      </c>
      <c r="FU24" s="1">
        <v>0</v>
      </c>
      <c r="GA24" s="1">
        <f t="shared" si="12"/>
        <v>0</v>
      </c>
      <c r="GJ24" s="1">
        <v>0</v>
      </c>
      <c r="GP24" s="1">
        <f t="shared" si="13"/>
        <v>0</v>
      </c>
      <c r="GR24" s="1">
        <v>1500</v>
      </c>
      <c r="GX24" s="1">
        <f t="shared" si="14"/>
        <v>1.5</v>
      </c>
      <c r="GZ24" s="1">
        <v>1</v>
      </c>
      <c r="HF24" s="1">
        <f t="shared" si="15"/>
        <v>1</v>
      </c>
      <c r="HH24" s="1">
        <v>13</v>
      </c>
      <c r="HN24" s="1">
        <f t="shared" si="16"/>
        <v>13</v>
      </c>
      <c r="HP24" s="1">
        <v>0</v>
      </c>
      <c r="HV24" s="1">
        <f t="shared" si="17"/>
        <v>0</v>
      </c>
      <c r="IK24" s="1">
        <v>0</v>
      </c>
      <c r="IL24" s="1">
        <v>0</v>
      </c>
      <c r="IM24" s="1">
        <v>0</v>
      </c>
      <c r="IN24" s="1">
        <v>24</v>
      </c>
      <c r="IO24" s="1">
        <v>0</v>
      </c>
    </row>
    <row r="25" spans="1:249" x14ac:dyDescent="0.25">
      <c r="A25" s="1">
        <v>24</v>
      </c>
      <c r="B25" s="1" t="s">
        <v>234</v>
      </c>
      <c r="C25" s="1" t="s">
        <v>235</v>
      </c>
      <c r="D25" s="1" t="s">
        <v>235</v>
      </c>
      <c r="E25" s="1" t="s">
        <v>246</v>
      </c>
      <c r="F25" s="1">
        <v>0</v>
      </c>
      <c r="G25" s="1">
        <v>0</v>
      </c>
      <c r="H25" s="1">
        <v>1</v>
      </c>
      <c r="I25" s="1">
        <v>28</v>
      </c>
      <c r="J25" s="1">
        <v>1</v>
      </c>
      <c r="K25" s="1">
        <v>0</v>
      </c>
      <c r="L25" s="1">
        <v>2</v>
      </c>
      <c r="M25" s="1">
        <v>0</v>
      </c>
      <c r="N25" s="1">
        <v>1</v>
      </c>
      <c r="O25" s="1">
        <v>1</v>
      </c>
      <c r="P25" s="1">
        <v>12</v>
      </c>
      <c r="Q25" s="1">
        <v>850</v>
      </c>
      <c r="R25" s="1">
        <v>0</v>
      </c>
      <c r="T25" s="1">
        <v>1</v>
      </c>
      <c r="U25" s="1">
        <v>250</v>
      </c>
      <c r="V25" s="1">
        <v>0</v>
      </c>
      <c r="X25" s="1">
        <v>5</v>
      </c>
      <c r="Y25" s="1">
        <f t="shared" si="0"/>
        <v>0</v>
      </c>
      <c r="Z25" s="1">
        <f t="shared" si="1"/>
        <v>1</v>
      </c>
      <c r="AA25" s="1">
        <v>11</v>
      </c>
      <c r="AC25" s="1">
        <v>0</v>
      </c>
      <c r="AD25" s="1">
        <v>0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0</v>
      </c>
      <c r="AK25" s="1">
        <v>1</v>
      </c>
      <c r="AL25" s="1">
        <v>0</v>
      </c>
      <c r="AM25" s="1">
        <v>0</v>
      </c>
      <c r="AO25" s="1">
        <v>1</v>
      </c>
      <c r="AP25" s="1">
        <v>0</v>
      </c>
      <c r="AQ25" s="1">
        <v>0</v>
      </c>
      <c r="AS25" s="1">
        <v>1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1.5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G25" s="1" t="s">
        <v>224</v>
      </c>
      <c r="BR25" s="1">
        <v>0</v>
      </c>
      <c r="BS25" s="1">
        <v>0</v>
      </c>
      <c r="BT25" s="1">
        <v>1</v>
      </c>
      <c r="BU25" s="1">
        <v>1</v>
      </c>
      <c r="BV25" s="1">
        <v>1</v>
      </c>
      <c r="BW25" s="1">
        <v>1</v>
      </c>
      <c r="BX25" s="1">
        <v>0</v>
      </c>
      <c r="CD25" s="1">
        <v>1</v>
      </c>
      <c r="CF25" s="1">
        <f t="shared" si="2"/>
        <v>0</v>
      </c>
      <c r="CL25" s="1">
        <v>1.5</v>
      </c>
      <c r="CS25" s="1">
        <v>1200</v>
      </c>
      <c r="CZ25" s="1">
        <v>1.5</v>
      </c>
      <c r="DB25" s="7">
        <f t="shared" si="3"/>
        <v>0.8</v>
      </c>
      <c r="DC25" s="5">
        <f t="shared" si="4"/>
        <v>2</v>
      </c>
      <c r="DI25" s="1">
        <v>3000</v>
      </c>
      <c r="DP25" s="1">
        <v>6</v>
      </c>
      <c r="DR25" s="1">
        <f t="shared" si="5"/>
        <v>6</v>
      </c>
      <c r="DX25" s="1">
        <v>1</v>
      </c>
      <c r="DZ25" s="1">
        <f t="shared" si="6"/>
        <v>1</v>
      </c>
      <c r="EC25" s="1">
        <v>1</v>
      </c>
      <c r="EF25" s="1">
        <f t="shared" si="7"/>
        <v>1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f t="shared" si="8"/>
        <v>0</v>
      </c>
      <c r="ET25" s="1">
        <v>1</v>
      </c>
      <c r="EV25" s="1">
        <f t="shared" si="9"/>
        <v>1</v>
      </c>
      <c r="FB25" s="1">
        <v>1</v>
      </c>
      <c r="FI25" s="1">
        <v>1</v>
      </c>
      <c r="FK25" s="1">
        <f t="shared" si="10"/>
        <v>1</v>
      </c>
      <c r="FQ25" s="1">
        <v>0</v>
      </c>
      <c r="FS25" s="1">
        <f t="shared" si="11"/>
        <v>0</v>
      </c>
      <c r="FY25" s="1">
        <v>0</v>
      </c>
      <c r="GA25" s="1">
        <f t="shared" si="12"/>
        <v>0</v>
      </c>
      <c r="GN25" s="1">
        <v>0</v>
      </c>
      <c r="GP25" s="1">
        <f t="shared" si="13"/>
        <v>0</v>
      </c>
      <c r="GV25" s="1">
        <v>4500</v>
      </c>
      <c r="GX25" s="1">
        <f t="shared" si="14"/>
        <v>4.5</v>
      </c>
      <c r="HD25" s="1">
        <v>1</v>
      </c>
      <c r="HF25" s="1">
        <f t="shared" si="15"/>
        <v>1</v>
      </c>
      <c r="HL25" s="1">
        <v>14.8</v>
      </c>
      <c r="HN25" s="1">
        <f t="shared" si="16"/>
        <v>14.8</v>
      </c>
      <c r="HT25" s="1">
        <v>0</v>
      </c>
      <c r="HV25" s="1">
        <f t="shared" si="17"/>
        <v>0</v>
      </c>
      <c r="IK25" s="1">
        <v>0</v>
      </c>
      <c r="IL25" s="1">
        <v>60</v>
      </c>
      <c r="IM25" s="1">
        <v>12</v>
      </c>
      <c r="IN25" s="1">
        <v>60</v>
      </c>
      <c r="IO25" s="1">
        <v>0</v>
      </c>
    </row>
    <row r="26" spans="1:249" x14ac:dyDescent="0.25">
      <c r="A26" s="1">
        <v>25</v>
      </c>
      <c r="B26" s="1" t="s">
        <v>234</v>
      </c>
      <c r="C26" s="1" t="s">
        <v>235</v>
      </c>
      <c r="D26" s="1" t="s">
        <v>235</v>
      </c>
      <c r="E26" s="1" t="s">
        <v>246</v>
      </c>
      <c r="F26" s="1">
        <v>0</v>
      </c>
      <c r="G26" s="1">
        <v>0</v>
      </c>
      <c r="H26" s="1">
        <v>1</v>
      </c>
      <c r="I26" s="1">
        <v>43</v>
      </c>
      <c r="J26" s="1">
        <v>1</v>
      </c>
      <c r="K26" s="1">
        <v>1</v>
      </c>
      <c r="M26" s="1">
        <v>1</v>
      </c>
      <c r="N26" s="1">
        <v>0</v>
      </c>
      <c r="O26" s="1">
        <v>4</v>
      </c>
      <c r="P26" s="1">
        <v>18</v>
      </c>
      <c r="Q26" s="1">
        <v>900</v>
      </c>
      <c r="R26" s="1">
        <v>1</v>
      </c>
      <c r="S26" s="1" t="s">
        <v>257</v>
      </c>
      <c r="T26" s="1">
        <v>1</v>
      </c>
      <c r="U26" s="1">
        <v>350</v>
      </c>
      <c r="V26" s="1">
        <v>0</v>
      </c>
      <c r="X26" s="1">
        <v>4</v>
      </c>
      <c r="Y26" s="1">
        <f t="shared" si="0"/>
        <v>0</v>
      </c>
      <c r="Z26" s="1">
        <f t="shared" si="1"/>
        <v>1</v>
      </c>
      <c r="AA26" s="1">
        <v>8</v>
      </c>
      <c r="AC26" s="1">
        <v>0</v>
      </c>
      <c r="AD26" s="1">
        <v>0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  <c r="AO26" s="1">
        <v>1</v>
      </c>
      <c r="AP26" s="1">
        <v>0</v>
      </c>
      <c r="AQ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2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3</v>
      </c>
      <c r="BG26" s="1" t="s">
        <v>224</v>
      </c>
      <c r="BO26" s="1" t="s">
        <v>258</v>
      </c>
      <c r="BR26" s="1">
        <v>0</v>
      </c>
      <c r="BS26" s="1">
        <v>0</v>
      </c>
      <c r="BT26" s="1">
        <v>1</v>
      </c>
      <c r="BU26" s="1">
        <v>1</v>
      </c>
      <c r="BV26" s="1">
        <v>0</v>
      </c>
      <c r="BW26" s="1">
        <v>1</v>
      </c>
      <c r="BX26" s="1">
        <v>0</v>
      </c>
      <c r="BZ26" s="1">
        <v>1</v>
      </c>
      <c r="CF26" s="1">
        <f t="shared" si="2"/>
        <v>0</v>
      </c>
      <c r="CH26" s="1">
        <v>2</v>
      </c>
      <c r="CO26" s="1">
        <v>1600</v>
      </c>
      <c r="CV26" s="1">
        <v>2</v>
      </c>
      <c r="DB26" s="7">
        <f t="shared" si="3"/>
        <v>0.8</v>
      </c>
      <c r="DC26" s="5">
        <f t="shared" si="4"/>
        <v>2</v>
      </c>
      <c r="DE26" s="1">
        <v>3000</v>
      </c>
      <c r="DL26" s="1">
        <v>6</v>
      </c>
      <c r="DR26" s="1">
        <f t="shared" si="5"/>
        <v>6</v>
      </c>
      <c r="DT26" s="1">
        <v>1</v>
      </c>
      <c r="DZ26" s="1">
        <f t="shared" si="6"/>
        <v>1</v>
      </c>
      <c r="EC26" s="1">
        <v>1</v>
      </c>
      <c r="EF26" s="1">
        <f t="shared" si="7"/>
        <v>1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f t="shared" si="8"/>
        <v>0</v>
      </c>
      <c r="EP26" s="1">
        <v>0</v>
      </c>
      <c r="EV26" s="1">
        <f t="shared" si="9"/>
        <v>0</v>
      </c>
      <c r="EX26" s="1">
        <v>0</v>
      </c>
      <c r="FE26" s="1">
        <v>1</v>
      </c>
      <c r="FK26" s="1">
        <f t="shared" si="10"/>
        <v>1</v>
      </c>
      <c r="FM26" s="1">
        <v>0</v>
      </c>
      <c r="FS26" s="1">
        <f t="shared" si="11"/>
        <v>0</v>
      </c>
      <c r="FU26" s="1">
        <v>0</v>
      </c>
      <c r="GA26" s="1">
        <f t="shared" si="12"/>
        <v>0</v>
      </c>
      <c r="GJ26" s="1">
        <v>0</v>
      </c>
      <c r="GP26" s="1">
        <f t="shared" si="13"/>
        <v>0</v>
      </c>
      <c r="GR26" s="1">
        <v>6000</v>
      </c>
      <c r="GX26" s="1">
        <f t="shared" si="14"/>
        <v>6</v>
      </c>
      <c r="GZ26" s="1">
        <v>1</v>
      </c>
      <c r="HF26" s="1">
        <f t="shared" si="15"/>
        <v>1</v>
      </c>
      <c r="HH26" s="1">
        <v>15.5</v>
      </c>
      <c r="HN26" s="1">
        <f t="shared" si="16"/>
        <v>15.5</v>
      </c>
      <c r="HP26" s="1">
        <v>0</v>
      </c>
      <c r="HV26" s="1">
        <f t="shared" si="17"/>
        <v>0</v>
      </c>
      <c r="IK26" s="1">
        <v>0</v>
      </c>
      <c r="IL26" s="1">
        <v>80</v>
      </c>
      <c r="IM26" s="1">
        <v>0</v>
      </c>
      <c r="IN26" s="1">
        <v>80</v>
      </c>
      <c r="IO26" s="1">
        <v>0</v>
      </c>
    </row>
    <row r="27" spans="1:249" x14ac:dyDescent="0.25">
      <c r="A27" s="1">
        <v>26</v>
      </c>
      <c r="B27" s="1" t="s">
        <v>234</v>
      </c>
      <c r="C27" s="1" t="s">
        <v>235</v>
      </c>
      <c r="D27" s="1" t="s">
        <v>236</v>
      </c>
      <c r="E27" s="1" t="s">
        <v>259</v>
      </c>
      <c r="F27" s="1">
        <v>0</v>
      </c>
      <c r="G27" s="1">
        <v>0</v>
      </c>
      <c r="H27" s="1">
        <v>1</v>
      </c>
      <c r="I27" s="1">
        <v>28</v>
      </c>
      <c r="J27" s="1">
        <v>1</v>
      </c>
      <c r="K27" s="1">
        <v>1</v>
      </c>
      <c r="M27" s="1">
        <v>0</v>
      </c>
      <c r="N27" s="1">
        <v>1</v>
      </c>
      <c r="O27" s="1">
        <v>3</v>
      </c>
      <c r="P27" s="1">
        <v>28</v>
      </c>
      <c r="Q27" s="1">
        <v>700</v>
      </c>
      <c r="R27" s="1">
        <v>1</v>
      </c>
      <c r="S27" s="1" t="s">
        <v>242</v>
      </c>
      <c r="T27" s="1">
        <v>1</v>
      </c>
      <c r="U27" s="1">
        <v>400</v>
      </c>
      <c r="V27" s="1">
        <v>1</v>
      </c>
      <c r="W27" s="1" t="s">
        <v>240</v>
      </c>
      <c r="X27" s="1">
        <v>4</v>
      </c>
      <c r="Y27" s="1">
        <f t="shared" si="0"/>
        <v>0</v>
      </c>
      <c r="Z27" s="1">
        <f t="shared" si="1"/>
        <v>1</v>
      </c>
      <c r="AA27" s="1">
        <v>10</v>
      </c>
      <c r="AC27" s="1">
        <v>0</v>
      </c>
      <c r="AD27" s="1">
        <v>0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0</v>
      </c>
      <c r="AK27" s="1">
        <v>0</v>
      </c>
      <c r="AL27" s="1">
        <v>1</v>
      </c>
      <c r="AM27" s="1">
        <v>7</v>
      </c>
      <c r="AO27" s="1">
        <v>1</v>
      </c>
      <c r="AP27" s="1">
        <v>0</v>
      </c>
      <c r="AQ27" s="1">
        <v>0</v>
      </c>
      <c r="AS27" s="1">
        <v>1</v>
      </c>
      <c r="AT27" s="1">
        <v>1</v>
      </c>
      <c r="AU27" s="1">
        <v>0</v>
      </c>
      <c r="AV27" s="1">
        <v>0</v>
      </c>
      <c r="AW27" s="1">
        <v>0</v>
      </c>
      <c r="AX27" s="1">
        <v>0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1</v>
      </c>
      <c r="BG27" s="1" t="s">
        <v>224</v>
      </c>
      <c r="BH27" s="1" t="s">
        <v>210</v>
      </c>
      <c r="BI27" s="1" t="s">
        <v>260</v>
      </c>
      <c r="BK27" s="1" t="s">
        <v>282</v>
      </c>
      <c r="BR27" s="1">
        <v>1</v>
      </c>
      <c r="BS27" s="1">
        <v>0</v>
      </c>
      <c r="BT27" s="1">
        <v>0</v>
      </c>
      <c r="BU27" s="1">
        <v>1</v>
      </c>
      <c r="BV27" s="1">
        <v>1</v>
      </c>
      <c r="BW27" s="1">
        <v>0</v>
      </c>
      <c r="BX27" s="1">
        <v>0</v>
      </c>
      <c r="BZ27" s="1">
        <v>1</v>
      </c>
      <c r="CF27" s="1">
        <f t="shared" si="2"/>
        <v>0</v>
      </c>
      <c r="CH27" s="1">
        <v>2</v>
      </c>
      <c r="CO27" s="1">
        <v>2500</v>
      </c>
      <c r="CV27" s="1">
        <v>2</v>
      </c>
      <c r="DB27" s="7">
        <f t="shared" si="3"/>
        <v>1.25</v>
      </c>
      <c r="DC27" s="5">
        <f t="shared" si="4"/>
        <v>3</v>
      </c>
      <c r="DE27" s="1">
        <v>3000</v>
      </c>
      <c r="DL27" s="1">
        <v>6</v>
      </c>
      <c r="DR27" s="1">
        <f t="shared" si="5"/>
        <v>6</v>
      </c>
      <c r="DZ27" s="1">
        <f t="shared" si="6"/>
        <v>0</v>
      </c>
      <c r="EC27" s="1">
        <v>1</v>
      </c>
      <c r="EF27" s="1">
        <f t="shared" si="7"/>
        <v>1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f t="shared" si="8"/>
        <v>0</v>
      </c>
      <c r="EP27" s="1">
        <v>1</v>
      </c>
      <c r="EV27" s="1">
        <f t="shared" si="9"/>
        <v>1</v>
      </c>
      <c r="EX27" s="1">
        <v>1</v>
      </c>
      <c r="FE27" s="1">
        <v>1</v>
      </c>
      <c r="FK27" s="1">
        <f t="shared" si="10"/>
        <v>1</v>
      </c>
      <c r="FM27" s="1">
        <v>0</v>
      </c>
      <c r="FS27" s="1">
        <f t="shared" si="11"/>
        <v>0</v>
      </c>
      <c r="FU27" s="1">
        <v>1</v>
      </c>
      <c r="GA27" s="1">
        <f t="shared" si="12"/>
        <v>1</v>
      </c>
      <c r="GC27" s="1" t="s">
        <v>261</v>
      </c>
      <c r="GJ27" s="1">
        <v>0</v>
      </c>
      <c r="GP27" s="1">
        <f t="shared" si="13"/>
        <v>0</v>
      </c>
      <c r="GR27" s="1">
        <v>10000</v>
      </c>
      <c r="GX27" s="1">
        <f t="shared" si="14"/>
        <v>10</v>
      </c>
      <c r="GZ27" s="1">
        <v>1</v>
      </c>
      <c r="HF27" s="1">
        <f t="shared" si="15"/>
        <v>1</v>
      </c>
      <c r="HH27" s="1">
        <v>11.5</v>
      </c>
      <c r="HN27" s="1">
        <f t="shared" si="16"/>
        <v>11.5</v>
      </c>
      <c r="HP27" s="1">
        <v>0</v>
      </c>
      <c r="HV27" s="1">
        <f t="shared" si="17"/>
        <v>0</v>
      </c>
      <c r="IK27" s="1">
        <v>0</v>
      </c>
      <c r="IL27" s="1">
        <v>80</v>
      </c>
      <c r="IM27" s="1">
        <v>16</v>
      </c>
      <c r="IN27" s="1">
        <v>0</v>
      </c>
      <c r="IO27" s="1">
        <v>0</v>
      </c>
    </row>
    <row r="28" spans="1:249" x14ac:dyDescent="0.25">
      <c r="A28" s="1">
        <v>27</v>
      </c>
      <c r="B28" s="1" t="s">
        <v>234</v>
      </c>
      <c r="C28" s="1" t="s">
        <v>235</v>
      </c>
      <c r="D28" s="1" t="s">
        <v>236</v>
      </c>
      <c r="E28" s="1" t="s">
        <v>259</v>
      </c>
      <c r="F28" s="1">
        <v>0</v>
      </c>
      <c r="G28" s="1">
        <v>0</v>
      </c>
      <c r="H28" s="1">
        <v>1</v>
      </c>
      <c r="I28" s="1">
        <v>41</v>
      </c>
      <c r="J28" s="1">
        <v>1</v>
      </c>
      <c r="K28" s="1">
        <v>1</v>
      </c>
      <c r="M28" s="1">
        <v>1</v>
      </c>
      <c r="N28" s="1">
        <v>1</v>
      </c>
      <c r="P28" s="1">
        <v>8</v>
      </c>
      <c r="Q28" s="1">
        <v>800</v>
      </c>
      <c r="R28" s="1">
        <v>1</v>
      </c>
      <c r="S28" s="1" t="s">
        <v>242</v>
      </c>
      <c r="T28" s="1">
        <v>1</v>
      </c>
      <c r="U28" s="1">
        <v>300</v>
      </c>
      <c r="V28" s="1">
        <v>1</v>
      </c>
      <c r="X28" s="1">
        <v>5</v>
      </c>
      <c r="Y28" s="1">
        <f t="shared" si="0"/>
        <v>0</v>
      </c>
      <c r="Z28" s="1">
        <f t="shared" si="1"/>
        <v>1</v>
      </c>
      <c r="AA28" s="1">
        <v>11</v>
      </c>
      <c r="AC28" s="1">
        <v>0</v>
      </c>
      <c r="AD28" s="1">
        <v>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0</v>
      </c>
      <c r="AK28" s="1">
        <v>0</v>
      </c>
      <c r="AL28" s="1">
        <v>1</v>
      </c>
      <c r="AM28" s="1">
        <v>7</v>
      </c>
      <c r="AO28" s="1">
        <v>1</v>
      </c>
      <c r="AP28" s="1">
        <v>0</v>
      </c>
      <c r="AQ28" s="1">
        <v>0</v>
      </c>
      <c r="AS28" s="1">
        <v>1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1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2</v>
      </c>
      <c r="BG28" s="1" t="s">
        <v>224</v>
      </c>
      <c r="BR28" s="1">
        <v>0</v>
      </c>
      <c r="BS28" s="1">
        <v>0</v>
      </c>
      <c r="BT28" s="1">
        <v>0</v>
      </c>
      <c r="BU28" s="1">
        <v>1</v>
      </c>
      <c r="BV28" s="1">
        <v>1</v>
      </c>
      <c r="BW28" s="1">
        <v>1</v>
      </c>
      <c r="BX28" s="1">
        <v>0</v>
      </c>
      <c r="BZ28" s="1">
        <v>1</v>
      </c>
      <c r="CF28" s="1">
        <f t="shared" si="2"/>
        <v>0</v>
      </c>
      <c r="CH28" s="1">
        <v>1</v>
      </c>
      <c r="CO28" s="1">
        <v>1000</v>
      </c>
      <c r="CV28" s="1">
        <v>1</v>
      </c>
      <c r="DB28" s="7">
        <f t="shared" si="3"/>
        <v>1</v>
      </c>
      <c r="DC28" s="5">
        <f t="shared" si="4"/>
        <v>3</v>
      </c>
      <c r="DE28" s="1">
        <v>3000</v>
      </c>
      <c r="DL28" s="1">
        <v>7</v>
      </c>
      <c r="DR28" s="1">
        <f t="shared" si="5"/>
        <v>7</v>
      </c>
      <c r="DZ28" s="1">
        <f t="shared" si="6"/>
        <v>0</v>
      </c>
      <c r="ED28" s="1">
        <v>1</v>
      </c>
      <c r="EF28" s="1">
        <f t="shared" si="7"/>
        <v>1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f t="shared" si="8"/>
        <v>0</v>
      </c>
      <c r="EP28" s="1">
        <v>1</v>
      </c>
      <c r="EV28" s="1">
        <f t="shared" si="9"/>
        <v>1</v>
      </c>
      <c r="EX28" s="1">
        <v>1</v>
      </c>
      <c r="FE28" s="1">
        <v>1</v>
      </c>
      <c r="FK28" s="1">
        <f t="shared" si="10"/>
        <v>1</v>
      </c>
      <c r="FM28" s="1">
        <v>0</v>
      </c>
      <c r="FS28" s="1">
        <f t="shared" si="11"/>
        <v>0</v>
      </c>
      <c r="FU28" s="1">
        <v>0</v>
      </c>
      <c r="GA28" s="1">
        <f t="shared" si="12"/>
        <v>0</v>
      </c>
      <c r="GJ28" s="1">
        <v>1200</v>
      </c>
      <c r="GP28" s="1">
        <f t="shared" si="13"/>
        <v>1200</v>
      </c>
      <c r="GR28" s="1">
        <v>1000</v>
      </c>
      <c r="GX28" s="1">
        <f t="shared" si="14"/>
        <v>1</v>
      </c>
      <c r="GZ28" s="1">
        <v>1</v>
      </c>
      <c r="HF28" s="1">
        <f t="shared" si="15"/>
        <v>1</v>
      </c>
      <c r="HH28" s="1">
        <v>11</v>
      </c>
      <c r="HN28" s="1">
        <f t="shared" si="16"/>
        <v>11</v>
      </c>
      <c r="HP28" s="1">
        <v>1</v>
      </c>
      <c r="HV28" s="1">
        <f t="shared" si="17"/>
        <v>1</v>
      </c>
      <c r="HX28" s="1" t="s">
        <v>226</v>
      </c>
      <c r="IE28" s="1">
        <v>0</v>
      </c>
      <c r="IK28" s="1">
        <v>0</v>
      </c>
      <c r="IL28" s="1">
        <v>0</v>
      </c>
      <c r="IM28" s="1">
        <v>0</v>
      </c>
      <c r="IN28" s="1">
        <v>40</v>
      </c>
      <c r="IO28" s="1">
        <v>0</v>
      </c>
    </row>
    <row r="29" spans="1:249" x14ac:dyDescent="0.25">
      <c r="A29" s="1">
        <v>28</v>
      </c>
      <c r="B29" s="1" t="s">
        <v>234</v>
      </c>
      <c r="C29" s="1" t="s">
        <v>235</v>
      </c>
      <c r="D29" s="1" t="s">
        <v>236</v>
      </c>
      <c r="E29" s="1" t="s">
        <v>259</v>
      </c>
      <c r="F29" s="1">
        <v>0</v>
      </c>
      <c r="G29" s="1">
        <v>0</v>
      </c>
      <c r="H29" s="1">
        <v>1</v>
      </c>
      <c r="I29" s="1">
        <v>63</v>
      </c>
      <c r="J29" s="1">
        <v>1</v>
      </c>
      <c r="K29" s="1">
        <v>1</v>
      </c>
      <c r="M29" s="1">
        <v>1</v>
      </c>
      <c r="N29" s="1">
        <v>1</v>
      </c>
      <c r="O29" s="1">
        <v>5</v>
      </c>
      <c r="P29" s="1">
        <v>30</v>
      </c>
      <c r="Q29" s="1">
        <v>600</v>
      </c>
      <c r="R29" s="1">
        <v>1</v>
      </c>
      <c r="S29" s="1" t="s">
        <v>220</v>
      </c>
      <c r="T29" s="1">
        <v>1</v>
      </c>
      <c r="U29" s="1">
        <v>400</v>
      </c>
      <c r="V29" s="1">
        <v>1</v>
      </c>
      <c r="W29" s="1" t="s">
        <v>240</v>
      </c>
      <c r="X29" s="1">
        <v>2</v>
      </c>
      <c r="Y29" s="1">
        <f t="shared" si="0"/>
        <v>1</v>
      </c>
      <c r="Z29" s="1">
        <f t="shared" si="1"/>
        <v>0</v>
      </c>
      <c r="AA29" s="1">
        <v>2</v>
      </c>
      <c r="AC29" s="1">
        <v>0</v>
      </c>
      <c r="AD29" s="1">
        <v>0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0</v>
      </c>
      <c r="AK29" s="1">
        <v>0</v>
      </c>
      <c r="AL29" s="1">
        <v>1</v>
      </c>
      <c r="AM29" s="1">
        <v>10</v>
      </c>
      <c r="AO29" s="1">
        <v>1</v>
      </c>
      <c r="AP29" s="1">
        <v>0</v>
      </c>
      <c r="AQ29" s="1">
        <v>0</v>
      </c>
      <c r="AS29" s="1">
        <v>1</v>
      </c>
      <c r="AT29" s="1">
        <v>1</v>
      </c>
      <c r="AU29" s="1">
        <v>0</v>
      </c>
      <c r="AV29" s="1">
        <v>0</v>
      </c>
      <c r="AW29" s="1">
        <v>0</v>
      </c>
      <c r="AX29" s="1">
        <v>0</v>
      </c>
      <c r="AY29" s="1">
        <v>3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1</v>
      </c>
      <c r="BG29" s="1" t="s">
        <v>224</v>
      </c>
      <c r="BH29" s="1" t="s">
        <v>210</v>
      </c>
      <c r="BI29" s="1" t="s">
        <v>260</v>
      </c>
      <c r="BK29" s="1" t="s">
        <v>282</v>
      </c>
      <c r="BL29" s="1" t="s">
        <v>283</v>
      </c>
      <c r="BR29" s="1">
        <v>1</v>
      </c>
      <c r="BS29" s="1">
        <v>0</v>
      </c>
      <c r="BT29" s="1">
        <v>0</v>
      </c>
      <c r="BU29" s="1">
        <v>1</v>
      </c>
      <c r="BV29" s="1">
        <v>1</v>
      </c>
      <c r="BW29" s="1">
        <v>1</v>
      </c>
      <c r="BX29" s="1">
        <v>0</v>
      </c>
      <c r="BZ29" s="1">
        <v>1</v>
      </c>
      <c r="CA29" s="1">
        <v>1</v>
      </c>
      <c r="CF29" s="1">
        <f t="shared" si="2"/>
        <v>1</v>
      </c>
      <c r="CH29" s="1">
        <v>2</v>
      </c>
      <c r="CI29" s="1">
        <v>1</v>
      </c>
      <c r="CO29" s="1">
        <v>2400</v>
      </c>
      <c r="CP29" s="1">
        <v>1200</v>
      </c>
      <c r="CV29" s="1">
        <v>2</v>
      </c>
      <c r="CW29" s="1">
        <v>1</v>
      </c>
      <c r="DB29" s="7">
        <f t="shared" si="3"/>
        <v>1.2</v>
      </c>
      <c r="DC29" s="5">
        <f t="shared" si="4"/>
        <v>3</v>
      </c>
      <c r="DE29" s="1">
        <v>2500</v>
      </c>
      <c r="DF29" s="1">
        <v>2800</v>
      </c>
      <c r="DL29" s="1">
        <v>7</v>
      </c>
      <c r="DM29" s="1">
        <v>4</v>
      </c>
      <c r="DR29" s="1">
        <f t="shared" si="5"/>
        <v>7</v>
      </c>
      <c r="DZ29" s="1">
        <f t="shared" si="6"/>
        <v>0</v>
      </c>
      <c r="EB29" s="1">
        <v>1</v>
      </c>
      <c r="EC29" s="1">
        <v>1</v>
      </c>
      <c r="EF29" s="1">
        <f t="shared" si="7"/>
        <v>1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f t="shared" si="8"/>
        <v>0</v>
      </c>
      <c r="EP29" s="1">
        <v>1</v>
      </c>
      <c r="EQ29" s="1">
        <v>1</v>
      </c>
      <c r="EV29" s="1">
        <f t="shared" si="9"/>
        <v>1</v>
      </c>
      <c r="EX29" s="1">
        <v>1</v>
      </c>
      <c r="EY29" s="1">
        <v>1</v>
      </c>
      <c r="FE29" s="1">
        <v>1</v>
      </c>
      <c r="FF29" s="1">
        <v>1</v>
      </c>
      <c r="FK29" s="1">
        <f t="shared" si="10"/>
        <v>1</v>
      </c>
      <c r="FM29" s="1">
        <v>0</v>
      </c>
      <c r="FN29" s="1">
        <v>0</v>
      </c>
      <c r="FS29" s="1">
        <f t="shared" si="11"/>
        <v>0</v>
      </c>
      <c r="FU29" s="1">
        <v>1</v>
      </c>
      <c r="FV29" s="1">
        <v>1</v>
      </c>
      <c r="GA29" s="1">
        <f t="shared" si="12"/>
        <v>1</v>
      </c>
      <c r="GC29" s="1" t="s">
        <v>262</v>
      </c>
      <c r="GD29" s="1" t="s">
        <v>262</v>
      </c>
      <c r="GJ29" s="1">
        <v>0</v>
      </c>
      <c r="GK29" s="1">
        <v>0</v>
      </c>
      <c r="GP29" s="1">
        <f t="shared" si="13"/>
        <v>0</v>
      </c>
      <c r="GR29" s="1">
        <v>5000</v>
      </c>
      <c r="GS29" s="1">
        <v>3000</v>
      </c>
      <c r="GX29" s="1">
        <f t="shared" si="14"/>
        <v>8</v>
      </c>
      <c r="GZ29" s="1">
        <v>1</v>
      </c>
      <c r="HA29" s="1">
        <v>1</v>
      </c>
      <c r="HF29" s="1">
        <f t="shared" si="15"/>
        <v>1</v>
      </c>
      <c r="HH29" s="1">
        <v>11</v>
      </c>
      <c r="HI29" s="1">
        <v>11</v>
      </c>
      <c r="HN29" s="1">
        <f t="shared" si="16"/>
        <v>11</v>
      </c>
      <c r="HP29" s="1">
        <v>0</v>
      </c>
      <c r="HQ29" s="1">
        <v>0</v>
      </c>
      <c r="HV29" s="1">
        <f t="shared" si="17"/>
        <v>0</v>
      </c>
      <c r="IK29" s="1">
        <v>0</v>
      </c>
      <c r="IL29" s="1">
        <v>0</v>
      </c>
      <c r="IM29" s="1">
        <v>0</v>
      </c>
      <c r="IN29" s="1">
        <v>120</v>
      </c>
      <c r="IO29" s="1">
        <v>0</v>
      </c>
    </row>
    <row r="30" spans="1:249" x14ac:dyDescent="0.25">
      <c r="A30" s="1">
        <v>29</v>
      </c>
      <c r="B30" s="1" t="s">
        <v>234</v>
      </c>
      <c r="C30" s="1" t="s">
        <v>235</v>
      </c>
      <c r="D30" s="1" t="s">
        <v>236</v>
      </c>
      <c r="E30" s="1" t="s">
        <v>236</v>
      </c>
      <c r="F30" s="1">
        <v>0</v>
      </c>
      <c r="G30" s="1">
        <v>1</v>
      </c>
      <c r="H30" s="1">
        <v>0</v>
      </c>
      <c r="I30" s="1">
        <v>55</v>
      </c>
      <c r="J30" s="1">
        <v>1</v>
      </c>
      <c r="K30" s="1">
        <v>1</v>
      </c>
      <c r="M30" s="1">
        <v>1</v>
      </c>
      <c r="N30" s="1">
        <v>1</v>
      </c>
      <c r="O30" s="1">
        <v>5</v>
      </c>
      <c r="P30" s="1">
        <v>40</v>
      </c>
      <c r="Q30" s="1">
        <v>800</v>
      </c>
      <c r="R30" s="1">
        <v>0</v>
      </c>
      <c r="T30" s="1">
        <v>1</v>
      </c>
      <c r="U30" s="1">
        <v>700</v>
      </c>
      <c r="V30" s="1">
        <v>0</v>
      </c>
      <c r="X30" s="1">
        <v>5</v>
      </c>
      <c r="Y30" s="1">
        <f t="shared" si="0"/>
        <v>0</v>
      </c>
      <c r="Z30" s="1">
        <f t="shared" si="1"/>
        <v>1</v>
      </c>
      <c r="AA30" s="1">
        <v>11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0</v>
      </c>
      <c r="AK30" s="1">
        <v>1</v>
      </c>
      <c r="AL30" s="1">
        <v>1</v>
      </c>
      <c r="AM30" s="1">
        <v>10</v>
      </c>
      <c r="AO30" s="1">
        <v>1</v>
      </c>
      <c r="AP30" s="1">
        <v>0</v>
      </c>
      <c r="AQ30" s="1">
        <v>0</v>
      </c>
      <c r="AS30" s="1">
        <v>1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3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G30" s="1" t="s">
        <v>224</v>
      </c>
      <c r="BR30" s="1">
        <v>0</v>
      </c>
      <c r="BS30" s="1">
        <v>1</v>
      </c>
      <c r="BT30" s="1">
        <v>0</v>
      </c>
      <c r="BU30" s="1">
        <v>1</v>
      </c>
      <c r="BV30" s="1">
        <v>1</v>
      </c>
      <c r="BW30" s="1">
        <v>1</v>
      </c>
      <c r="BX30" s="1">
        <v>0</v>
      </c>
      <c r="BZ30" s="1">
        <v>1</v>
      </c>
      <c r="CA30" s="1">
        <v>1</v>
      </c>
      <c r="CF30" s="1">
        <f t="shared" si="2"/>
        <v>1</v>
      </c>
      <c r="CH30" s="1">
        <v>2</v>
      </c>
      <c r="CI30" s="1">
        <f>3/4</f>
        <v>0.75</v>
      </c>
      <c r="CO30" s="1">
        <v>1200</v>
      </c>
      <c r="CP30" s="1">
        <v>800</v>
      </c>
      <c r="CV30" s="1">
        <v>2</v>
      </c>
      <c r="CW30" s="1">
        <f>3/4</f>
        <v>0.75</v>
      </c>
      <c r="DB30" s="7">
        <f t="shared" si="3"/>
        <v>0.72727272727272729</v>
      </c>
      <c r="DC30" s="5">
        <f t="shared" si="4"/>
        <v>2</v>
      </c>
      <c r="DE30" s="1">
        <v>3000</v>
      </c>
      <c r="DF30" s="1">
        <v>2500</v>
      </c>
      <c r="DL30" s="1">
        <v>6</v>
      </c>
      <c r="DM30" s="1">
        <v>10</v>
      </c>
      <c r="DR30" s="1">
        <f t="shared" si="5"/>
        <v>10</v>
      </c>
      <c r="DT30" s="1">
        <v>1</v>
      </c>
      <c r="DU30" s="1">
        <v>1</v>
      </c>
      <c r="DZ30" s="1">
        <f t="shared" si="6"/>
        <v>1</v>
      </c>
      <c r="EC30" s="1">
        <v>1</v>
      </c>
      <c r="EF30" s="1">
        <f t="shared" si="7"/>
        <v>1</v>
      </c>
      <c r="EH30" s="1">
        <v>1</v>
      </c>
      <c r="EI30" s="1">
        <v>0</v>
      </c>
      <c r="EN30" s="1">
        <f t="shared" si="8"/>
        <v>1</v>
      </c>
      <c r="EP30" s="1">
        <v>1</v>
      </c>
      <c r="EQ30" s="1">
        <v>0</v>
      </c>
      <c r="EV30" s="1">
        <f t="shared" si="9"/>
        <v>1</v>
      </c>
      <c r="EX30" s="1">
        <v>1</v>
      </c>
      <c r="EY30" s="1">
        <v>0</v>
      </c>
      <c r="FE30" s="1">
        <v>1</v>
      </c>
      <c r="FF30" s="1">
        <v>1</v>
      </c>
      <c r="FK30" s="1">
        <f t="shared" si="10"/>
        <v>1</v>
      </c>
      <c r="FM30" s="1">
        <v>0</v>
      </c>
      <c r="FN30" s="1">
        <v>0</v>
      </c>
      <c r="FS30" s="1">
        <f t="shared" si="11"/>
        <v>0</v>
      </c>
      <c r="FU30" s="1">
        <v>0</v>
      </c>
      <c r="FV30" s="1">
        <v>0</v>
      </c>
      <c r="GA30" s="1">
        <f t="shared" si="12"/>
        <v>0</v>
      </c>
      <c r="GJ30" s="1">
        <v>0</v>
      </c>
      <c r="GK30" s="1">
        <v>0</v>
      </c>
      <c r="GP30" s="1">
        <f t="shared" si="13"/>
        <v>0</v>
      </c>
      <c r="GR30" s="1">
        <v>3000</v>
      </c>
      <c r="GS30" s="1">
        <v>3000</v>
      </c>
      <c r="GX30" s="1">
        <f t="shared" si="14"/>
        <v>6</v>
      </c>
      <c r="GZ30" s="1">
        <v>1</v>
      </c>
      <c r="HA30" s="1">
        <v>1</v>
      </c>
      <c r="HF30" s="1">
        <f t="shared" si="15"/>
        <v>1</v>
      </c>
      <c r="HH30" s="1">
        <v>10</v>
      </c>
      <c r="HI30" s="1">
        <v>10</v>
      </c>
      <c r="HN30" s="1">
        <f t="shared" si="16"/>
        <v>10</v>
      </c>
      <c r="HP30" s="1">
        <v>0</v>
      </c>
      <c r="HQ30" s="1">
        <v>0</v>
      </c>
      <c r="HV30" s="1">
        <f t="shared" si="17"/>
        <v>0</v>
      </c>
      <c r="IK30" s="1">
        <v>88</v>
      </c>
      <c r="IL30" s="1">
        <v>88</v>
      </c>
      <c r="IM30" s="1">
        <v>22</v>
      </c>
      <c r="IN30" s="1">
        <v>110</v>
      </c>
      <c r="IO30" s="1">
        <v>0</v>
      </c>
    </row>
    <row r="31" spans="1:249" x14ac:dyDescent="0.25">
      <c r="A31" s="1">
        <v>30</v>
      </c>
      <c r="B31" s="1" t="s">
        <v>237</v>
      </c>
      <c r="C31" s="1" t="s">
        <v>194</v>
      </c>
      <c r="D31" s="1" t="s">
        <v>239</v>
      </c>
      <c r="E31" s="1" t="s">
        <v>263</v>
      </c>
      <c r="F31" s="1">
        <v>0</v>
      </c>
      <c r="G31" s="1">
        <v>0</v>
      </c>
      <c r="H31" s="1">
        <v>1</v>
      </c>
      <c r="I31" s="1">
        <v>45</v>
      </c>
      <c r="J31" s="1">
        <v>1</v>
      </c>
      <c r="K31" s="1">
        <v>1</v>
      </c>
      <c r="M31" s="1">
        <v>0</v>
      </c>
      <c r="N31" s="1">
        <v>1</v>
      </c>
      <c r="O31" s="1">
        <v>4</v>
      </c>
      <c r="P31" s="1">
        <v>45</v>
      </c>
      <c r="Q31" s="1">
        <v>1300</v>
      </c>
      <c r="R31" s="1">
        <v>1</v>
      </c>
      <c r="S31" s="1" t="s">
        <v>220</v>
      </c>
      <c r="T31" s="1">
        <v>0</v>
      </c>
      <c r="U31" s="1">
        <v>0</v>
      </c>
      <c r="V31" s="1">
        <v>1</v>
      </c>
      <c r="W31" s="1" t="s">
        <v>240</v>
      </c>
      <c r="X31" s="1">
        <v>5</v>
      </c>
      <c r="Y31" s="1">
        <f t="shared" si="0"/>
        <v>0</v>
      </c>
      <c r="Z31" s="1">
        <f t="shared" si="1"/>
        <v>1</v>
      </c>
      <c r="AA31" s="1">
        <v>12</v>
      </c>
      <c r="AC31" s="1">
        <v>0</v>
      </c>
      <c r="AD31" s="1">
        <v>0</v>
      </c>
      <c r="AE31" s="1">
        <v>1</v>
      </c>
      <c r="AF31" s="1">
        <v>1</v>
      </c>
      <c r="AG31" s="1">
        <v>1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15</v>
      </c>
      <c r="AO31" s="1">
        <v>1</v>
      </c>
      <c r="AP31" s="1">
        <v>1</v>
      </c>
      <c r="AQ31" s="1">
        <v>1</v>
      </c>
      <c r="AS31" s="1">
        <v>1</v>
      </c>
      <c r="AT31" s="1">
        <v>1</v>
      </c>
      <c r="AU31" s="1">
        <v>1</v>
      </c>
      <c r="AV31" s="1">
        <v>0</v>
      </c>
      <c r="AW31" s="1">
        <v>1</v>
      </c>
      <c r="AX31" s="1">
        <v>0</v>
      </c>
      <c r="AY31" s="1">
        <v>4</v>
      </c>
      <c r="AZ31" s="1">
        <f>1/2</f>
        <v>0.5</v>
      </c>
      <c r="BA31" s="1">
        <v>1</v>
      </c>
      <c r="BB31" s="1">
        <v>0</v>
      </c>
      <c r="BC31" s="1">
        <f>1/2</f>
        <v>0.5</v>
      </c>
      <c r="BD31" s="1">
        <v>0</v>
      </c>
      <c r="BE31" s="1">
        <v>4</v>
      </c>
      <c r="BG31" s="1" t="s">
        <v>224</v>
      </c>
      <c r="BH31" s="1" t="s">
        <v>210</v>
      </c>
      <c r="BI31" s="1" t="s">
        <v>225</v>
      </c>
      <c r="BK31" s="1" t="s">
        <v>282</v>
      </c>
      <c r="BL31" s="1" t="s">
        <v>264</v>
      </c>
      <c r="BO31" s="1" t="s">
        <v>241</v>
      </c>
      <c r="BP31" s="1" t="s">
        <v>233</v>
      </c>
      <c r="BQ31" s="1" t="s">
        <v>265</v>
      </c>
      <c r="BR31" s="1">
        <v>1</v>
      </c>
      <c r="BS31" s="1">
        <v>0</v>
      </c>
      <c r="BT31" s="1">
        <v>0</v>
      </c>
      <c r="BU31" s="1">
        <v>1</v>
      </c>
      <c r="BV31" s="1">
        <v>1</v>
      </c>
      <c r="BW31" s="1">
        <v>1</v>
      </c>
      <c r="BX31" s="1">
        <v>0</v>
      </c>
      <c r="BZ31" s="1">
        <v>1</v>
      </c>
      <c r="CF31" s="1">
        <f t="shared" si="2"/>
        <v>0</v>
      </c>
      <c r="CH31" s="1">
        <v>2</v>
      </c>
      <c r="CO31" s="1">
        <v>1700</v>
      </c>
      <c r="CV31" s="1">
        <v>2</v>
      </c>
      <c r="DB31" s="7">
        <f t="shared" si="3"/>
        <v>0.85</v>
      </c>
      <c r="DC31" s="5">
        <f t="shared" si="4"/>
        <v>3</v>
      </c>
      <c r="DE31" s="1">
        <v>3000</v>
      </c>
      <c r="DL31" s="1">
        <v>8</v>
      </c>
      <c r="DR31" s="1">
        <f t="shared" si="5"/>
        <v>8</v>
      </c>
      <c r="DT31" s="1">
        <v>1</v>
      </c>
      <c r="DZ31" s="1">
        <f t="shared" si="6"/>
        <v>1</v>
      </c>
      <c r="EC31" s="1">
        <v>1</v>
      </c>
      <c r="EF31" s="1">
        <f t="shared" si="7"/>
        <v>1</v>
      </c>
      <c r="EH31" s="1">
        <v>1</v>
      </c>
      <c r="EN31" s="1">
        <f t="shared" si="8"/>
        <v>1</v>
      </c>
      <c r="EP31" s="1">
        <v>1</v>
      </c>
      <c r="EV31" s="1">
        <f t="shared" si="9"/>
        <v>1</v>
      </c>
      <c r="EX31" s="1">
        <v>1</v>
      </c>
      <c r="FE31" s="1">
        <v>1</v>
      </c>
      <c r="FK31" s="1">
        <f t="shared" si="10"/>
        <v>1</v>
      </c>
      <c r="FM31" s="1">
        <v>0</v>
      </c>
      <c r="FS31" s="1">
        <f t="shared" si="11"/>
        <v>0</v>
      </c>
      <c r="FU31" s="1">
        <v>1</v>
      </c>
      <c r="GA31" s="1">
        <f t="shared" si="12"/>
        <v>1</v>
      </c>
      <c r="GC31" s="1" t="s">
        <v>266</v>
      </c>
      <c r="GJ31" s="1">
        <v>12000</v>
      </c>
      <c r="GP31" s="1">
        <f t="shared" si="13"/>
        <v>12000</v>
      </c>
      <c r="GR31" s="1">
        <v>3000</v>
      </c>
      <c r="GX31" s="1">
        <f t="shared" si="14"/>
        <v>3</v>
      </c>
      <c r="GZ31" s="1">
        <v>1</v>
      </c>
      <c r="HF31" s="1">
        <f t="shared" si="15"/>
        <v>1</v>
      </c>
      <c r="HH31" s="1">
        <v>12</v>
      </c>
      <c r="HN31" s="1">
        <f t="shared" si="16"/>
        <v>12</v>
      </c>
      <c r="HP31" s="1">
        <v>1</v>
      </c>
      <c r="HV31" s="1">
        <f t="shared" si="17"/>
        <v>1</v>
      </c>
      <c r="HX31" s="1" t="s">
        <v>226</v>
      </c>
      <c r="IE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</row>
    <row r="32" spans="1:249" x14ac:dyDescent="0.25">
      <c r="A32" s="1">
        <v>31</v>
      </c>
      <c r="B32" s="1" t="s">
        <v>237</v>
      </c>
      <c r="C32" s="1" t="s">
        <v>194</v>
      </c>
      <c r="D32" s="1" t="s">
        <v>239</v>
      </c>
      <c r="E32" s="1" t="s">
        <v>263</v>
      </c>
      <c r="F32" s="1">
        <v>0</v>
      </c>
      <c r="G32" s="1">
        <v>0</v>
      </c>
      <c r="H32" s="1">
        <v>1</v>
      </c>
      <c r="I32" s="1">
        <v>60</v>
      </c>
      <c r="J32" s="1">
        <v>0</v>
      </c>
      <c r="K32" s="1">
        <v>1</v>
      </c>
      <c r="M32" s="1">
        <v>1</v>
      </c>
      <c r="N32" s="1">
        <v>1</v>
      </c>
      <c r="O32" s="1">
        <v>2</v>
      </c>
      <c r="P32" s="1">
        <v>40</v>
      </c>
      <c r="Q32" s="1">
        <v>1200</v>
      </c>
      <c r="R32" s="1">
        <v>1</v>
      </c>
      <c r="S32" s="1" t="s">
        <v>257</v>
      </c>
      <c r="T32" s="1">
        <v>1</v>
      </c>
      <c r="U32" s="1">
        <v>250</v>
      </c>
      <c r="V32" s="1">
        <v>1</v>
      </c>
      <c r="W32" s="1" t="s">
        <v>240</v>
      </c>
      <c r="X32" s="1">
        <v>4</v>
      </c>
      <c r="Y32" s="1">
        <f t="shared" si="0"/>
        <v>0</v>
      </c>
      <c r="Z32" s="1">
        <f t="shared" si="1"/>
        <v>1</v>
      </c>
      <c r="AA32" s="1">
        <v>9</v>
      </c>
      <c r="AC32" s="1">
        <v>0</v>
      </c>
      <c r="AD32" s="1">
        <v>0</v>
      </c>
      <c r="AE32" s="1">
        <v>1</v>
      </c>
      <c r="AF32" s="1">
        <v>0</v>
      </c>
      <c r="AG32" s="1">
        <v>1</v>
      </c>
      <c r="AH32" s="1">
        <v>0</v>
      </c>
      <c r="AI32" s="1">
        <v>0</v>
      </c>
      <c r="AJ32" s="1">
        <v>0</v>
      </c>
      <c r="AK32" s="1">
        <v>0</v>
      </c>
      <c r="AL32" s="1">
        <v>1</v>
      </c>
      <c r="AM32" s="1">
        <v>15</v>
      </c>
      <c r="AO32" s="1">
        <v>1</v>
      </c>
      <c r="AP32" s="1">
        <v>0</v>
      </c>
      <c r="AQ32" s="1">
        <v>0</v>
      </c>
      <c r="AS32" s="1">
        <v>1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2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5</v>
      </c>
      <c r="BG32" s="1" t="s">
        <v>224</v>
      </c>
      <c r="BH32" s="1" t="s">
        <v>210</v>
      </c>
      <c r="BI32" s="1" t="s">
        <v>225</v>
      </c>
      <c r="BR32" s="1">
        <v>1</v>
      </c>
      <c r="BS32" s="1">
        <v>1</v>
      </c>
      <c r="BT32" s="1">
        <v>1</v>
      </c>
      <c r="BU32" s="1">
        <v>1</v>
      </c>
      <c r="BV32" s="1">
        <v>0</v>
      </c>
      <c r="BW32" s="1">
        <v>1</v>
      </c>
      <c r="BX32" s="1">
        <v>0</v>
      </c>
      <c r="BZ32" s="1">
        <v>1</v>
      </c>
      <c r="CF32" s="1">
        <f t="shared" si="2"/>
        <v>0</v>
      </c>
      <c r="CH32" s="1">
        <v>2</v>
      </c>
      <c r="CO32" s="1">
        <v>1300</v>
      </c>
      <c r="CV32" s="1">
        <v>2</v>
      </c>
      <c r="DB32" s="7">
        <f t="shared" si="3"/>
        <v>0.65</v>
      </c>
      <c r="DC32" s="5">
        <f t="shared" si="4"/>
        <v>2</v>
      </c>
      <c r="DE32" s="1">
        <v>6000</v>
      </c>
      <c r="DL32" s="1">
        <v>8</v>
      </c>
      <c r="DR32" s="1">
        <f t="shared" si="5"/>
        <v>8</v>
      </c>
      <c r="DT32" s="1">
        <v>1</v>
      </c>
      <c r="DZ32" s="1">
        <f t="shared" si="6"/>
        <v>1</v>
      </c>
      <c r="ED32" s="1">
        <v>1</v>
      </c>
      <c r="EF32" s="1">
        <f t="shared" si="7"/>
        <v>1</v>
      </c>
      <c r="EH32" s="1">
        <v>1</v>
      </c>
      <c r="EN32" s="1">
        <f t="shared" si="8"/>
        <v>1</v>
      </c>
      <c r="EP32" s="1">
        <v>1</v>
      </c>
      <c r="EV32" s="1">
        <f t="shared" si="9"/>
        <v>1</v>
      </c>
      <c r="EX32" s="1">
        <v>1</v>
      </c>
      <c r="FE32" s="1">
        <v>1</v>
      </c>
      <c r="FK32" s="1">
        <f t="shared" si="10"/>
        <v>1</v>
      </c>
      <c r="FM32" s="1">
        <v>0</v>
      </c>
      <c r="FS32" s="1">
        <f t="shared" si="11"/>
        <v>0</v>
      </c>
      <c r="FU32" s="1">
        <v>0</v>
      </c>
      <c r="GA32" s="1">
        <f t="shared" si="12"/>
        <v>0</v>
      </c>
      <c r="GJ32" s="1">
        <v>5000</v>
      </c>
      <c r="GP32" s="1">
        <f t="shared" si="13"/>
        <v>5000</v>
      </c>
      <c r="GR32" s="1">
        <v>2000</v>
      </c>
      <c r="GX32" s="1">
        <f t="shared" si="14"/>
        <v>2</v>
      </c>
      <c r="GZ32" s="1">
        <v>1</v>
      </c>
      <c r="HF32" s="1">
        <f t="shared" si="15"/>
        <v>1</v>
      </c>
      <c r="HH32" s="1">
        <v>10</v>
      </c>
      <c r="HN32" s="1">
        <f t="shared" si="16"/>
        <v>10</v>
      </c>
      <c r="HP32" s="1">
        <v>0</v>
      </c>
      <c r="HV32" s="1">
        <f t="shared" si="17"/>
        <v>0</v>
      </c>
      <c r="HX32" s="1" t="s">
        <v>226</v>
      </c>
      <c r="IE32" s="1">
        <v>0</v>
      </c>
      <c r="IK32" s="1">
        <v>4</v>
      </c>
      <c r="IL32" s="1">
        <v>0</v>
      </c>
      <c r="IM32" s="1">
        <v>0</v>
      </c>
      <c r="IN32" s="1">
        <v>0</v>
      </c>
      <c r="IO32" s="1">
        <v>0</v>
      </c>
    </row>
    <row r="33" spans="1:249" x14ac:dyDescent="0.25">
      <c r="A33" s="1">
        <v>32</v>
      </c>
      <c r="B33" s="1" t="s">
        <v>237</v>
      </c>
      <c r="C33" s="1" t="s">
        <v>194</v>
      </c>
      <c r="D33" s="1" t="s">
        <v>239</v>
      </c>
      <c r="E33" s="1" t="s">
        <v>239</v>
      </c>
      <c r="F33" s="1">
        <v>1</v>
      </c>
      <c r="G33" s="1">
        <v>0</v>
      </c>
      <c r="H33" s="1">
        <v>0</v>
      </c>
      <c r="I33" s="1">
        <v>60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5</v>
      </c>
      <c r="P33" s="1">
        <v>25</v>
      </c>
      <c r="Q33" s="1">
        <v>1000</v>
      </c>
      <c r="R33" s="1">
        <v>0</v>
      </c>
      <c r="T33" s="1">
        <v>1</v>
      </c>
      <c r="U33" s="1">
        <v>200</v>
      </c>
      <c r="V33" s="1">
        <v>1</v>
      </c>
      <c r="W33" s="1" t="s">
        <v>240</v>
      </c>
      <c r="X33" s="1">
        <v>3</v>
      </c>
      <c r="Y33" s="1">
        <f t="shared" si="0"/>
        <v>1</v>
      </c>
      <c r="Z33" s="1">
        <f t="shared" si="1"/>
        <v>0</v>
      </c>
      <c r="AA33" s="1">
        <v>7</v>
      </c>
      <c r="AC33" s="1">
        <v>0</v>
      </c>
      <c r="AD33" s="1">
        <v>0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0</v>
      </c>
      <c r="AK33" s="1">
        <v>0</v>
      </c>
      <c r="AL33" s="1">
        <v>1</v>
      </c>
      <c r="AM33" s="1">
        <v>4</v>
      </c>
      <c r="AO33" s="1">
        <v>1</v>
      </c>
      <c r="AP33" s="1">
        <v>0</v>
      </c>
      <c r="AQ33" s="1">
        <v>1</v>
      </c>
      <c r="AS33" s="1">
        <v>1</v>
      </c>
      <c r="AT33" s="1">
        <v>1</v>
      </c>
      <c r="AU33" s="1">
        <v>0</v>
      </c>
      <c r="AV33" s="1">
        <v>0</v>
      </c>
      <c r="AW33" s="1">
        <v>1</v>
      </c>
      <c r="AX33" s="1">
        <v>0</v>
      </c>
      <c r="AY33" s="1">
        <v>4</v>
      </c>
      <c r="AZ33" s="1">
        <f>1/2</f>
        <v>0.5</v>
      </c>
      <c r="BA33" s="1">
        <v>0</v>
      </c>
      <c r="BB33" s="1">
        <v>0</v>
      </c>
      <c r="BC33" s="1">
        <v>1</v>
      </c>
      <c r="BD33" s="1">
        <v>0</v>
      </c>
      <c r="BE33" s="1">
        <f>2+1/2</f>
        <v>2.5</v>
      </c>
      <c r="BG33" s="1" t="s">
        <v>224</v>
      </c>
      <c r="BH33" s="1" t="s">
        <v>210</v>
      </c>
      <c r="BI33" s="1" t="s">
        <v>225</v>
      </c>
      <c r="BO33" s="1" t="s">
        <v>265</v>
      </c>
      <c r="BP33" s="1" t="s">
        <v>233</v>
      </c>
      <c r="BR33" s="1">
        <v>1</v>
      </c>
      <c r="BS33" s="1">
        <v>1</v>
      </c>
      <c r="BT33" s="1">
        <v>1</v>
      </c>
      <c r="BU33" s="1">
        <v>0</v>
      </c>
      <c r="BV33" s="1">
        <v>0</v>
      </c>
      <c r="BW33" s="1">
        <v>1</v>
      </c>
      <c r="BX33" s="1">
        <v>0</v>
      </c>
      <c r="BZ33" s="1">
        <v>1</v>
      </c>
      <c r="CF33" s="1">
        <f t="shared" si="2"/>
        <v>0</v>
      </c>
      <c r="CH33" s="1">
        <v>3</v>
      </c>
      <c r="CO33" s="1">
        <v>400</v>
      </c>
      <c r="CV33" s="1">
        <v>1</v>
      </c>
      <c r="DB33" s="7">
        <f t="shared" si="3"/>
        <v>0.4</v>
      </c>
      <c r="DC33" s="5">
        <f t="shared" si="4"/>
        <v>1</v>
      </c>
      <c r="DE33" s="1">
        <v>3500</v>
      </c>
      <c r="DL33" s="1">
        <v>5</v>
      </c>
      <c r="DR33" s="1">
        <f t="shared" si="5"/>
        <v>5</v>
      </c>
      <c r="DT33" s="1">
        <v>1</v>
      </c>
      <c r="DZ33" s="1">
        <f t="shared" si="6"/>
        <v>1</v>
      </c>
      <c r="EC33" s="1">
        <v>1</v>
      </c>
      <c r="EF33" s="1">
        <f t="shared" si="7"/>
        <v>1</v>
      </c>
      <c r="EH33" s="1">
        <v>1</v>
      </c>
      <c r="EN33" s="1">
        <f t="shared" si="8"/>
        <v>1</v>
      </c>
      <c r="EP33" s="1">
        <v>1</v>
      </c>
      <c r="EV33" s="1">
        <f t="shared" si="9"/>
        <v>1</v>
      </c>
      <c r="EX33" s="1">
        <v>1</v>
      </c>
      <c r="FE33" s="1">
        <v>1</v>
      </c>
      <c r="FK33" s="1">
        <f t="shared" si="10"/>
        <v>1</v>
      </c>
      <c r="FM33" s="1">
        <v>1</v>
      </c>
      <c r="FS33" s="1">
        <f t="shared" si="11"/>
        <v>1</v>
      </c>
      <c r="FU33" s="1">
        <v>0</v>
      </c>
      <c r="GA33" s="1">
        <f t="shared" si="12"/>
        <v>0</v>
      </c>
      <c r="GJ33" s="1">
        <v>10000</v>
      </c>
      <c r="GP33" s="1">
        <f t="shared" si="13"/>
        <v>10000</v>
      </c>
      <c r="GR33" s="1">
        <v>4000</v>
      </c>
      <c r="GX33" s="1">
        <f t="shared" si="14"/>
        <v>4</v>
      </c>
      <c r="GZ33" s="1">
        <v>1</v>
      </c>
      <c r="HF33" s="1">
        <f t="shared" si="15"/>
        <v>1</v>
      </c>
      <c r="HH33" s="1">
        <v>12</v>
      </c>
      <c r="HN33" s="1">
        <f t="shared" si="16"/>
        <v>12</v>
      </c>
      <c r="HP33" s="1">
        <v>0</v>
      </c>
      <c r="HV33" s="1">
        <f t="shared" si="17"/>
        <v>0</v>
      </c>
      <c r="IK33" s="1">
        <v>96</v>
      </c>
      <c r="IL33" s="1">
        <v>120</v>
      </c>
      <c r="IM33" s="1">
        <v>0</v>
      </c>
      <c r="IN33" s="1">
        <v>120</v>
      </c>
      <c r="IO33" s="1">
        <v>0</v>
      </c>
    </row>
    <row r="34" spans="1:249" x14ac:dyDescent="0.25">
      <c r="A34" s="1">
        <v>33</v>
      </c>
      <c r="B34" s="1" t="s">
        <v>237</v>
      </c>
      <c r="C34" s="1" t="s">
        <v>194</v>
      </c>
      <c r="D34" s="1" t="s">
        <v>239</v>
      </c>
      <c r="E34" s="1" t="s">
        <v>267</v>
      </c>
      <c r="F34" s="1">
        <v>1</v>
      </c>
      <c r="G34" s="1">
        <v>0</v>
      </c>
      <c r="H34" s="1">
        <v>0</v>
      </c>
      <c r="I34" s="1">
        <v>28</v>
      </c>
      <c r="J34" s="1">
        <v>0</v>
      </c>
      <c r="K34" s="1">
        <v>1</v>
      </c>
      <c r="M34" s="1">
        <v>0</v>
      </c>
      <c r="N34" s="1">
        <v>0</v>
      </c>
      <c r="O34" s="1">
        <v>4</v>
      </c>
      <c r="P34" s="1">
        <v>20</v>
      </c>
      <c r="Q34" s="1">
        <v>1300</v>
      </c>
      <c r="R34" s="1">
        <v>1</v>
      </c>
      <c r="S34" s="1" t="s">
        <v>220</v>
      </c>
      <c r="T34" s="1">
        <v>1</v>
      </c>
      <c r="U34" s="1">
        <v>200</v>
      </c>
      <c r="V34" s="1">
        <v>1</v>
      </c>
      <c r="W34" s="1" t="s">
        <v>240</v>
      </c>
      <c r="X34" s="1">
        <v>5</v>
      </c>
      <c r="Y34" s="1">
        <f t="shared" si="0"/>
        <v>0</v>
      </c>
      <c r="Z34" s="1">
        <f t="shared" si="1"/>
        <v>1</v>
      </c>
      <c r="AA34" s="1">
        <v>12</v>
      </c>
      <c r="AC34" s="1">
        <v>0</v>
      </c>
      <c r="AD34" s="1">
        <v>0</v>
      </c>
      <c r="AE34" s="1">
        <v>1</v>
      </c>
      <c r="AF34" s="1">
        <v>1</v>
      </c>
      <c r="AG34" s="1">
        <v>1</v>
      </c>
      <c r="AH34" s="1">
        <v>0</v>
      </c>
      <c r="AI34" s="1">
        <v>1</v>
      </c>
      <c r="AJ34" s="1">
        <v>0</v>
      </c>
      <c r="AK34" s="1">
        <v>1</v>
      </c>
      <c r="AL34" s="1">
        <v>1</v>
      </c>
      <c r="AM34" s="1">
        <v>0</v>
      </c>
      <c r="AO34" s="1">
        <v>1</v>
      </c>
      <c r="AP34" s="1">
        <v>0</v>
      </c>
      <c r="AQ34" s="1">
        <v>0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2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G34" s="1" t="s">
        <v>224</v>
      </c>
      <c r="BH34" s="1" t="s">
        <v>210</v>
      </c>
      <c r="BR34" s="1">
        <v>1</v>
      </c>
      <c r="BS34" s="1">
        <v>0</v>
      </c>
      <c r="BT34" s="1">
        <v>0</v>
      </c>
      <c r="BU34" s="1">
        <v>0</v>
      </c>
      <c r="BV34" s="1">
        <v>0</v>
      </c>
      <c r="BW34" s="1">
        <v>1</v>
      </c>
      <c r="BX34" s="1">
        <v>0</v>
      </c>
      <c r="BZ34" s="1">
        <v>1</v>
      </c>
      <c r="CF34" s="1">
        <f t="shared" si="2"/>
        <v>0</v>
      </c>
      <c r="CH34" s="1">
        <v>2</v>
      </c>
      <c r="CO34" s="1">
        <v>900</v>
      </c>
      <c r="CV34" s="1">
        <v>2</v>
      </c>
      <c r="DB34" s="7">
        <f t="shared" si="3"/>
        <v>0.45</v>
      </c>
      <c r="DC34" s="5">
        <f t="shared" si="4"/>
        <v>1</v>
      </c>
      <c r="DE34" s="1">
        <v>3000</v>
      </c>
      <c r="DL34" s="1">
        <v>6</v>
      </c>
      <c r="DR34" s="1">
        <f t="shared" si="5"/>
        <v>6</v>
      </c>
      <c r="DT34" s="1">
        <v>1</v>
      </c>
      <c r="DZ34" s="1">
        <f t="shared" si="6"/>
        <v>1</v>
      </c>
      <c r="ED34" s="1">
        <v>1</v>
      </c>
      <c r="EF34" s="1">
        <f t="shared" si="7"/>
        <v>1</v>
      </c>
      <c r="EH34" s="1">
        <v>1</v>
      </c>
      <c r="EN34" s="1">
        <f t="shared" si="8"/>
        <v>1</v>
      </c>
      <c r="EP34" s="1">
        <v>1</v>
      </c>
      <c r="EV34" s="1">
        <f t="shared" si="9"/>
        <v>1</v>
      </c>
      <c r="EX34" s="1">
        <v>1</v>
      </c>
      <c r="FE34" s="1">
        <v>1</v>
      </c>
      <c r="FK34" s="1">
        <f t="shared" si="10"/>
        <v>1</v>
      </c>
      <c r="FM34" s="1">
        <v>1</v>
      </c>
      <c r="FS34" s="1">
        <f t="shared" si="11"/>
        <v>1</v>
      </c>
      <c r="FU34" s="1">
        <v>0</v>
      </c>
      <c r="GA34" s="1">
        <f t="shared" si="12"/>
        <v>0</v>
      </c>
      <c r="GJ34" s="1">
        <v>3000</v>
      </c>
      <c r="GP34" s="1">
        <f t="shared" si="13"/>
        <v>3000</v>
      </c>
      <c r="GR34" s="1">
        <v>2000</v>
      </c>
      <c r="GX34" s="1">
        <f t="shared" si="14"/>
        <v>2</v>
      </c>
      <c r="GZ34" s="1">
        <v>1</v>
      </c>
      <c r="HF34" s="1">
        <f t="shared" si="15"/>
        <v>1</v>
      </c>
      <c r="HH34" s="1">
        <v>12</v>
      </c>
      <c r="HN34" s="1">
        <f t="shared" si="16"/>
        <v>12</v>
      </c>
      <c r="HP34" s="1">
        <v>0</v>
      </c>
      <c r="HV34" s="1">
        <f t="shared" si="17"/>
        <v>0</v>
      </c>
      <c r="IK34" s="1">
        <v>0</v>
      </c>
      <c r="IL34" s="1">
        <v>80</v>
      </c>
      <c r="IM34" s="1">
        <v>0</v>
      </c>
      <c r="IN34" s="1">
        <v>80</v>
      </c>
      <c r="IO34" s="1">
        <v>0</v>
      </c>
    </row>
    <row r="35" spans="1:249" x14ac:dyDescent="0.25">
      <c r="A35" s="1">
        <v>34</v>
      </c>
      <c r="B35" s="1" t="s">
        <v>237</v>
      </c>
      <c r="C35" s="1" t="s">
        <v>194</v>
      </c>
      <c r="D35" s="1" t="s">
        <v>219</v>
      </c>
      <c r="E35" s="1" t="s">
        <v>268</v>
      </c>
      <c r="F35" s="1">
        <v>0</v>
      </c>
      <c r="G35" s="1">
        <v>0</v>
      </c>
      <c r="H35" s="1">
        <v>1</v>
      </c>
      <c r="I35" s="1">
        <v>36</v>
      </c>
      <c r="J35" s="1">
        <v>1</v>
      </c>
      <c r="K35" s="1">
        <v>1</v>
      </c>
      <c r="M35" s="1">
        <v>1</v>
      </c>
      <c r="N35" s="1">
        <v>1</v>
      </c>
      <c r="O35" s="1">
        <v>1</v>
      </c>
      <c r="P35" s="1">
        <v>17</v>
      </c>
      <c r="Q35" s="1">
        <v>1000</v>
      </c>
      <c r="R35" s="1">
        <v>0</v>
      </c>
      <c r="T35" s="1">
        <v>0</v>
      </c>
      <c r="U35" s="1">
        <v>0</v>
      </c>
      <c r="V35" s="1">
        <v>1</v>
      </c>
      <c r="W35" s="1" t="s">
        <v>240</v>
      </c>
      <c r="X35" s="1">
        <v>3</v>
      </c>
      <c r="Y35" s="1">
        <f t="shared" si="0"/>
        <v>1</v>
      </c>
      <c r="Z35" s="1">
        <f t="shared" si="1"/>
        <v>0</v>
      </c>
      <c r="AA35" s="1">
        <v>5</v>
      </c>
      <c r="AC35" s="1">
        <v>0</v>
      </c>
      <c r="AD35" s="1">
        <v>0</v>
      </c>
      <c r="AE35" s="1">
        <v>1</v>
      </c>
      <c r="AF35" s="1">
        <v>1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1</v>
      </c>
      <c r="AM35" s="1">
        <v>8</v>
      </c>
      <c r="AO35" s="1">
        <v>1</v>
      </c>
      <c r="AP35" s="1">
        <v>0</v>
      </c>
      <c r="AQ35" s="1">
        <v>0</v>
      </c>
      <c r="AS35" s="1">
        <v>1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1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2</v>
      </c>
      <c r="BG35" s="1" t="s">
        <v>224</v>
      </c>
      <c r="BH35" s="1" t="s">
        <v>210</v>
      </c>
      <c r="BR35" s="1">
        <v>1</v>
      </c>
      <c r="BS35" s="1">
        <v>1</v>
      </c>
      <c r="BT35" s="1">
        <v>1</v>
      </c>
      <c r="BU35" s="1">
        <v>0</v>
      </c>
      <c r="BV35" s="1">
        <v>0</v>
      </c>
      <c r="BW35" s="1">
        <v>1</v>
      </c>
      <c r="BX35" s="1">
        <v>0</v>
      </c>
      <c r="BZ35" s="1">
        <v>1</v>
      </c>
      <c r="CF35" s="1">
        <f t="shared" si="2"/>
        <v>0</v>
      </c>
      <c r="CH35" s="1">
        <v>2</v>
      </c>
      <c r="CO35" s="1">
        <v>400</v>
      </c>
      <c r="CV35" s="1">
        <v>1</v>
      </c>
      <c r="DB35" s="7">
        <f t="shared" si="3"/>
        <v>0.4</v>
      </c>
      <c r="DC35" s="5">
        <f t="shared" si="4"/>
        <v>1</v>
      </c>
      <c r="DE35" s="1">
        <v>2600</v>
      </c>
      <c r="DL35" s="1">
        <v>7</v>
      </c>
      <c r="DR35" s="1">
        <f t="shared" si="5"/>
        <v>7</v>
      </c>
      <c r="DZ35" s="1">
        <f t="shared" si="6"/>
        <v>0</v>
      </c>
      <c r="ED35" s="1">
        <v>1</v>
      </c>
      <c r="EF35" s="1">
        <f t="shared" si="7"/>
        <v>1</v>
      </c>
      <c r="EH35" s="1">
        <v>1</v>
      </c>
      <c r="EN35" s="1">
        <f t="shared" si="8"/>
        <v>1</v>
      </c>
      <c r="EP35" s="1">
        <v>1</v>
      </c>
      <c r="EV35" s="1">
        <f t="shared" si="9"/>
        <v>1</v>
      </c>
      <c r="EX35" s="1">
        <v>1</v>
      </c>
      <c r="FE35" s="1">
        <v>1</v>
      </c>
      <c r="FK35" s="1">
        <f t="shared" si="10"/>
        <v>1</v>
      </c>
      <c r="FM35" s="1">
        <v>1</v>
      </c>
      <c r="FS35" s="1">
        <f t="shared" si="11"/>
        <v>1</v>
      </c>
      <c r="FU35" s="1">
        <v>0</v>
      </c>
      <c r="GA35" s="1">
        <f t="shared" si="12"/>
        <v>0</v>
      </c>
      <c r="GJ35" s="1">
        <v>0</v>
      </c>
      <c r="GP35" s="1">
        <f t="shared" si="13"/>
        <v>0</v>
      </c>
      <c r="GR35" s="1">
        <v>2000</v>
      </c>
      <c r="GX35" s="1">
        <f t="shared" si="14"/>
        <v>2</v>
      </c>
      <c r="GZ35" s="1">
        <v>1</v>
      </c>
      <c r="HF35" s="1">
        <f t="shared" si="15"/>
        <v>1</v>
      </c>
      <c r="HH35" s="1">
        <v>11</v>
      </c>
      <c r="HN35" s="1">
        <f t="shared" si="16"/>
        <v>11</v>
      </c>
      <c r="HV35" s="1">
        <f t="shared" si="17"/>
        <v>0</v>
      </c>
      <c r="IK35" s="1">
        <v>64</v>
      </c>
      <c r="IL35" s="1">
        <v>0</v>
      </c>
      <c r="IM35" s="1">
        <v>0</v>
      </c>
      <c r="IN35" s="1">
        <v>80</v>
      </c>
      <c r="IO35" s="1">
        <v>0</v>
      </c>
    </row>
    <row r="36" spans="1:249" x14ac:dyDescent="0.25">
      <c r="A36" s="1">
        <v>35</v>
      </c>
      <c r="B36" s="1" t="s">
        <v>237</v>
      </c>
      <c r="C36" s="1" t="s">
        <v>194</v>
      </c>
      <c r="D36" s="1" t="s">
        <v>219</v>
      </c>
      <c r="E36" s="1" t="s">
        <v>268</v>
      </c>
      <c r="F36" s="1">
        <v>0</v>
      </c>
      <c r="G36" s="1">
        <v>0</v>
      </c>
      <c r="H36" s="1">
        <v>1</v>
      </c>
      <c r="I36" s="1">
        <v>51</v>
      </c>
      <c r="J36" s="1">
        <v>0</v>
      </c>
      <c r="K36" s="1">
        <v>0</v>
      </c>
      <c r="L36" s="1">
        <v>1</v>
      </c>
      <c r="M36" s="1">
        <v>1</v>
      </c>
      <c r="N36" s="1">
        <v>1</v>
      </c>
      <c r="O36" s="1">
        <v>7</v>
      </c>
      <c r="P36" s="1">
        <v>20</v>
      </c>
      <c r="Q36" s="1">
        <v>600</v>
      </c>
      <c r="R36" s="1">
        <v>1</v>
      </c>
      <c r="S36" s="1" t="s">
        <v>309</v>
      </c>
      <c r="T36" s="1">
        <v>1</v>
      </c>
      <c r="U36" s="1">
        <v>150</v>
      </c>
      <c r="V36" s="1">
        <v>1</v>
      </c>
      <c r="W36" s="1" t="s">
        <v>240</v>
      </c>
      <c r="X36" s="1">
        <v>5</v>
      </c>
      <c r="Y36" s="1">
        <f t="shared" si="0"/>
        <v>0</v>
      </c>
      <c r="Z36" s="1">
        <f t="shared" si="1"/>
        <v>1</v>
      </c>
      <c r="AA36" s="1">
        <v>12</v>
      </c>
      <c r="AC36" s="1">
        <v>0</v>
      </c>
      <c r="AD36" s="1">
        <v>0</v>
      </c>
      <c r="AE36" s="1">
        <v>1</v>
      </c>
      <c r="AF36" s="1">
        <v>1</v>
      </c>
      <c r="AG36" s="1">
        <v>1</v>
      </c>
      <c r="AH36" s="1">
        <v>0</v>
      </c>
      <c r="AI36" s="1">
        <v>1</v>
      </c>
      <c r="AJ36" s="1">
        <v>0</v>
      </c>
      <c r="AK36" s="1">
        <v>0</v>
      </c>
      <c r="AL36" s="1">
        <v>1</v>
      </c>
      <c r="AM36" s="1">
        <v>6</v>
      </c>
      <c r="AO36" s="1">
        <v>1</v>
      </c>
      <c r="AP36" s="1">
        <v>0</v>
      </c>
      <c r="AQ36" s="1">
        <v>0</v>
      </c>
      <c r="AS36" s="1">
        <v>1</v>
      </c>
      <c r="AT36" s="1">
        <v>0</v>
      </c>
      <c r="AU36" s="1">
        <v>0</v>
      </c>
      <c r="AV36" s="1">
        <v>0</v>
      </c>
      <c r="AW36" s="1">
        <v>1</v>
      </c>
      <c r="AX36" s="1">
        <v>0</v>
      </c>
      <c r="AY36" s="1">
        <v>2</v>
      </c>
      <c r="AZ36" s="1">
        <v>0</v>
      </c>
      <c r="BA36" s="1">
        <v>0</v>
      </c>
      <c r="BB36" s="1">
        <v>0</v>
      </c>
      <c r="BC36" s="1">
        <v>1</v>
      </c>
      <c r="BD36" s="1">
        <v>0</v>
      </c>
      <c r="BE36" s="1">
        <v>1</v>
      </c>
      <c r="BG36" s="1" t="s">
        <v>224</v>
      </c>
      <c r="BO36" s="1" t="s">
        <v>233</v>
      </c>
      <c r="BR36" s="1">
        <v>0</v>
      </c>
      <c r="BS36" s="1">
        <v>0</v>
      </c>
      <c r="BT36" s="1">
        <v>1</v>
      </c>
      <c r="BU36" s="1">
        <v>1</v>
      </c>
      <c r="BV36" s="1">
        <v>1</v>
      </c>
      <c r="BW36" s="1">
        <v>1</v>
      </c>
      <c r="BX36" s="1">
        <v>0</v>
      </c>
      <c r="BZ36" s="1">
        <v>1</v>
      </c>
      <c r="CF36" s="1">
        <f t="shared" si="2"/>
        <v>0</v>
      </c>
      <c r="CH36" s="1">
        <v>2</v>
      </c>
      <c r="CO36" s="1">
        <v>1500</v>
      </c>
      <c r="CV36" s="1">
        <v>2</v>
      </c>
      <c r="DB36" s="7">
        <f t="shared" si="3"/>
        <v>0.75</v>
      </c>
      <c r="DC36" s="5">
        <f t="shared" si="4"/>
        <v>2</v>
      </c>
      <c r="DE36" s="1">
        <v>3200</v>
      </c>
      <c r="DL36" s="1">
        <v>7</v>
      </c>
      <c r="DR36" s="1">
        <f t="shared" si="5"/>
        <v>7</v>
      </c>
      <c r="DT36" s="1">
        <v>1</v>
      </c>
      <c r="DZ36" s="1">
        <f t="shared" si="6"/>
        <v>1</v>
      </c>
      <c r="ED36" s="1">
        <v>1</v>
      </c>
      <c r="EF36" s="1">
        <f t="shared" si="7"/>
        <v>1</v>
      </c>
      <c r="EH36" s="1">
        <v>1</v>
      </c>
      <c r="EN36" s="1">
        <f t="shared" si="8"/>
        <v>1</v>
      </c>
      <c r="EP36" s="1">
        <v>1</v>
      </c>
      <c r="EV36" s="1">
        <f t="shared" si="9"/>
        <v>1</v>
      </c>
      <c r="EX36" s="1">
        <v>1</v>
      </c>
      <c r="FE36" s="1">
        <v>1</v>
      </c>
      <c r="FK36" s="1">
        <f t="shared" si="10"/>
        <v>1</v>
      </c>
      <c r="FM36" s="1">
        <v>0</v>
      </c>
      <c r="FS36" s="1">
        <f t="shared" si="11"/>
        <v>0</v>
      </c>
      <c r="FU36" s="1">
        <v>1</v>
      </c>
      <c r="GA36" s="1">
        <f t="shared" si="12"/>
        <v>1</v>
      </c>
      <c r="GJ36" s="1">
        <v>6000</v>
      </c>
      <c r="GP36" s="1">
        <f t="shared" si="13"/>
        <v>6000</v>
      </c>
      <c r="GR36" s="1">
        <v>2800</v>
      </c>
      <c r="GX36" s="1">
        <f t="shared" si="14"/>
        <v>2.8</v>
      </c>
      <c r="GZ36" s="1">
        <v>1</v>
      </c>
      <c r="HF36" s="1">
        <f t="shared" si="15"/>
        <v>1</v>
      </c>
      <c r="HH36" s="1">
        <v>12</v>
      </c>
      <c r="HN36" s="1">
        <f t="shared" si="16"/>
        <v>12</v>
      </c>
      <c r="HP36" s="1">
        <v>0</v>
      </c>
      <c r="HV36" s="1">
        <f t="shared" si="17"/>
        <v>0</v>
      </c>
      <c r="IK36" s="1">
        <v>0</v>
      </c>
      <c r="IL36" s="1">
        <v>0</v>
      </c>
      <c r="IM36" s="1">
        <v>0</v>
      </c>
      <c r="IN36" s="1">
        <v>80</v>
      </c>
      <c r="IO36" s="1">
        <v>0</v>
      </c>
    </row>
    <row r="37" spans="1:249" x14ac:dyDescent="0.25">
      <c r="A37" s="1">
        <v>36</v>
      </c>
      <c r="B37" s="1" t="s">
        <v>237</v>
      </c>
      <c r="C37" s="1" t="s">
        <v>194</v>
      </c>
      <c r="D37" s="1" t="s">
        <v>219</v>
      </c>
      <c r="E37" s="1" t="s">
        <v>269</v>
      </c>
      <c r="F37" s="1">
        <v>0</v>
      </c>
      <c r="G37" s="1">
        <v>0</v>
      </c>
      <c r="H37" s="1">
        <v>1</v>
      </c>
      <c r="I37" s="1">
        <v>42</v>
      </c>
      <c r="J37" s="1">
        <v>0</v>
      </c>
      <c r="K37" s="1">
        <v>0</v>
      </c>
      <c r="L37" s="1">
        <v>1</v>
      </c>
      <c r="M37" s="1">
        <v>0</v>
      </c>
      <c r="N37" s="1">
        <v>1</v>
      </c>
      <c r="O37" s="1">
        <v>4</v>
      </c>
      <c r="P37" s="1">
        <v>38</v>
      </c>
      <c r="Q37" s="1">
        <v>600</v>
      </c>
      <c r="R37" s="1">
        <v>1</v>
      </c>
      <c r="S37" s="1" t="s">
        <v>220</v>
      </c>
      <c r="T37" s="1">
        <v>0</v>
      </c>
      <c r="U37" s="1">
        <v>0</v>
      </c>
      <c r="V37" s="1">
        <v>1</v>
      </c>
      <c r="W37" s="1" t="s">
        <v>251</v>
      </c>
      <c r="X37" s="1">
        <v>3</v>
      </c>
      <c r="Y37" s="1">
        <f t="shared" si="0"/>
        <v>1</v>
      </c>
      <c r="Z37" s="1">
        <f t="shared" si="1"/>
        <v>0</v>
      </c>
      <c r="AA37" s="1">
        <v>7</v>
      </c>
      <c r="AC37" s="1">
        <v>0</v>
      </c>
      <c r="AD37" s="1">
        <v>0</v>
      </c>
      <c r="AE37" s="1">
        <v>1</v>
      </c>
      <c r="AF37" s="1">
        <v>1</v>
      </c>
      <c r="AG37" s="1">
        <v>1</v>
      </c>
      <c r="AH37" s="1">
        <v>0</v>
      </c>
      <c r="AI37" s="1">
        <v>1</v>
      </c>
      <c r="AJ37" s="1">
        <v>0</v>
      </c>
      <c r="AK37" s="1">
        <v>0</v>
      </c>
      <c r="AL37" s="1">
        <v>1</v>
      </c>
      <c r="AM37" s="1">
        <v>5</v>
      </c>
      <c r="AO37" s="1">
        <v>1</v>
      </c>
      <c r="AP37" s="1">
        <v>0</v>
      </c>
      <c r="AQ37" s="1">
        <v>0</v>
      </c>
      <c r="AS37" s="1">
        <v>1</v>
      </c>
      <c r="AT37" s="1">
        <v>1</v>
      </c>
      <c r="AU37" s="1">
        <v>0</v>
      </c>
      <c r="AV37" s="1">
        <v>0</v>
      </c>
      <c r="AW37" s="1">
        <v>0</v>
      </c>
      <c r="AX37" s="1">
        <v>0</v>
      </c>
      <c r="AY37" s="1">
        <v>1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4</v>
      </c>
      <c r="BG37" s="1" t="s">
        <v>224</v>
      </c>
      <c r="BH37" s="1" t="s">
        <v>210</v>
      </c>
      <c r="BK37" s="1" t="s">
        <v>282</v>
      </c>
      <c r="BR37" s="1">
        <v>1</v>
      </c>
      <c r="BS37" s="1">
        <v>1</v>
      </c>
      <c r="BT37" s="1">
        <v>1</v>
      </c>
      <c r="BU37" s="1">
        <v>1</v>
      </c>
      <c r="BV37" s="1">
        <v>0</v>
      </c>
      <c r="BW37" s="1">
        <v>1</v>
      </c>
      <c r="BX37" s="1">
        <v>0</v>
      </c>
      <c r="BZ37" s="1">
        <v>1</v>
      </c>
      <c r="CF37" s="1">
        <f t="shared" si="2"/>
        <v>0</v>
      </c>
      <c r="CH37" s="1">
        <v>1</v>
      </c>
      <c r="CO37" s="1">
        <v>700</v>
      </c>
      <c r="CV37" s="1">
        <v>1</v>
      </c>
      <c r="DB37" s="7">
        <f t="shared" si="3"/>
        <v>0.7</v>
      </c>
      <c r="DC37" s="5">
        <f t="shared" si="4"/>
        <v>2</v>
      </c>
      <c r="DE37" s="1">
        <v>3000</v>
      </c>
      <c r="DL37" s="1">
        <v>5</v>
      </c>
      <c r="DR37" s="1">
        <f t="shared" si="5"/>
        <v>5</v>
      </c>
      <c r="DT37" s="1">
        <v>1</v>
      </c>
      <c r="DZ37" s="1">
        <f t="shared" si="6"/>
        <v>1</v>
      </c>
      <c r="ED37" s="1">
        <v>1</v>
      </c>
      <c r="EF37" s="1">
        <f t="shared" si="7"/>
        <v>1</v>
      </c>
      <c r="EH37" s="1">
        <v>0</v>
      </c>
      <c r="EN37" s="1">
        <f t="shared" si="8"/>
        <v>0</v>
      </c>
      <c r="EP37" s="1">
        <v>1</v>
      </c>
      <c r="EV37" s="1">
        <f t="shared" si="9"/>
        <v>1</v>
      </c>
      <c r="EX37" s="1">
        <v>1</v>
      </c>
      <c r="FE37" s="1">
        <v>1</v>
      </c>
      <c r="FK37" s="1">
        <f t="shared" si="10"/>
        <v>1</v>
      </c>
      <c r="FM37" s="1">
        <v>0</v>
      </c>
      <c r="FS37" s="1">
        <f t="shared" si="11"/>
        <v>0</v>
      </c>
      <c r="FU37" s="1">
        <v>0</v>
      </c>
      <c r="GA37" s="1">
        <f t="shared" si="12"/>
        <v>0</v>
      </c>
      <c r="GJ37" s="1">
        <v>2000</v>
      </c>
      <c r="GP37" s="1">
        <f t="shared" si="13"/>
        <v>2000</v>
      </c>
      <c r="GR37" s="1">
        <v>2000</v>
      </c>
      <c r="GX37" s="1">
        <f t="shared" si="14"/>
        <v>2</v>
      </c>
      <c r="GZ37" s="1">
        <v>1</v>
      </c>
      <c r="HF37" s="1">
        <f t="shared" si="15"/>
        <v>1</v>
      </c>
      <c r="HH37" s="1">
        <v>12</v>
      </c>
      <c r="HN37" s="1">
        <f t="shared" si="16"/>
        <v>12</v>
      </c>
      <c r="HP37" s="1">
        <v>0</v>
      </c>
      <c r="HV37" s="1">
        <f t="shared" si="17"/>
        <v>0</v>
      </c>
      <c r="IK37" s="1">
        <v>32</v>
      </c>
      <c r="IL37" s="1">
        <v>40</v>
      </c>
      <c r="IM37" s="1">
        <v>0</v>
      </c>
      <c r="IN37" s="1">
        <v>40</v>
      </c>
      <c r="IO37" s="1">
        <v>0</v>
      </c>
    </row>
    <row r="38" spans="1:249" x14ac:dyDescent="0.25">
      <c r="A38" s="1">
        <v>37</v>
      </c>
      <c r="B38" s="1" t="s">
        <v>234</v>
      </c>
      <c r="C38" s="1" t="s">
        <v>235</v>
      </c>
      <c r="D38" s="1" t="s">
        <v>236</v>
      </c>
      <c r="E38" s="1" t="s">
        <v>236</v>
      </c>
      <c r="F38" s="1">
        <v>0</v>
      </c>
      <c r="G38" s="1">
        <v>1</v>
      </c>
      <c r="H38" s="1">
        <v>0</v>
      </c>
      <c r="I38" s="1">
        <v>34</v>
      </c>
      <c r="J38" s="1">
        <v>1</v>
      </c>
      <c r="K38" s="1">
        <v>1</v>
      </c>
      <c r="M38" s="1">
        <v>1</v>
      </c>
      <c r="N38" s="1">
        <v>0</v>
      </c>
      <c r="O38" s="1">
        <v>4</v>
      </c>
      <c r="P38" s="1">
        <v>25</v>
      </c>
      <c r="Q38" s="1">
        <v>800</v>
      </c>
      <c r="R38" s="1">
        <v>0</v>
      </c>
      <c r="T38" s="1">
        <v>1</v>
      </c>
      <c r="U38" s="1">
        <v>800</v>
      </c>
      <c r="V38" s="1">
        <v>0</v>
      </c>
      <c r="X38" s="1">
        <v>5</v>
      </c>
      <c r="Y38" s="1">
        <f t="shared" si="0"/>
        <v>0</v>
      </c>
      <c r="Z38" s="1">
        <f t="shared" si="1"/>
        <v>1</v>
      </c>
      <c r="AA38" s="1">
        <v>11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0</v>
      </c>
      <c r="AK38" s="1">
        <v>0</v>
      </c>
      <c r="AL38" s="1">
        <v>1</v>
      </c>
      <c r="AM38" s="1">
        <v>10</v>
      </c>
      <c r="AO38" s="1">
        <v>1</v>
      </c>
      <c r="AP38" s="1">
        <v>0</v>
      </c>
      <c r="AQ38" s="1">
        <v>0</v>
      </c>
      <c r="AS38" s="1">
        <v>1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2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G38" s="1" t="s">
        <v>224</v>
      </c>
      <c r="BR38" s="1">
        <v>0</v>
      </c>
      <c r="BS38" s="1">
        <v>0</v>
      </c>
      <c r="BT38" s="1">
        <v>0</v>
      </c>
      <c r="BU38" s="1">
        <v>1</v>
      </c>
      <c r="BV38" s="1">
        <v>1</v>
      </c>
      <c r="BW38" s="1">
        <v>1</v>
      </c>
      <c r="BX38" s="1">
        <v>0</v>
      </c>
      <c r="BZ38" s="1">
        <v>1</v>
      </c>
      <c r="CF38" s="1">
        <f t="shared" si="2"/>
        <v>0</v>
      </c>
      <c r="CH38" s="1">
        <v>2</v>
      </c>
      <c r="CO38" s="1">
        <v>1000</v>
      </c>
      <c r="CV38" s="1">
        <v>2</v>
      </c>
      <c r="DB38" s="7">
        <f t="shared" si="3"/>
        <v>0.5</v>
      </c>
      <c r="DC38" s="5">
        <f t="shared" si="4"/>
        <v>1</v>
      </c>
      <c r="DE38" s="1">
        <v>3000</v>
      </c>
      <c r="DL38" s="1">
        <v>8</v>
      </c>
      <c r="DR38" s="1">
        <f t="shared" si="5"/>
        <v>8</v>
      </c>
      <c r="DT38" s="1">
        <v>1</v>
      </c>
      <c r="DZ38" s="1">
        <f t="shared" si="6"/>
        <v>1</v>
      </c>
      <c r="EC38" s="1">
        <v>1</v>
      </c>
      <c r="EF38" s="1">
        <f t="shared" si="7"/>
        <v>1</v>
      </c>
      <c r="EH38" s="1">
        <v>0</v>
      </c>
      <c r="EN38" s="1">
        <f t="shared" si="8"/>
        <v>0</v>
      </c>
      <c r="EP38" s="1">
        <v>1</v>
      </c>
      <c r="EV38" s="1">
        <f t="shared" si="9"/>
        <v>1</v>
      </c>
      <c r="EX38" s="1">
        <v>1</v>
      </c>
      <c r="FE38" s="1">
        <v>1</v>
      </c>
      <c r="FK38" s="1">
        <f t="shared" si="10"/>
        <v>1</v>
      </c>
      <c r="FM38" s="1">
        <v>0</v>
      </c>
      <c r="FS38" s="1">
        <f t="shared" si="11"/>
        <v>0</v>
      </c>
      <c r="FU38" s="1">
        <v>0</v>
      </c>
      <c r="GA38" s="1">
        <f t="shared" si="12"/>
        <v>0</v>
      </c>
      <c r="GJ38" s="1">
        <v>0</v>
      </c>
      <c r="GP38" s="1">
        <f t="shared" si="13"/>
        <v>0</v>
      </c>
      <c r="GR38" s="1">
        <v>2000</v>
      </c>
      <c r="GX38" s="1">
        <f t="shared" si="14"/>
        <v>2</v>
      </c>
      <c r="HF38" s="1">
        <f t="shared" si="15"/>
        <v>0</v>
      </c>
      <c r="HH38" s="1">
        <v>10</v>
      </c>
      <c r="HN38" s="1">
        <f t="shared" si="16"/>
        <v>10</v>
      </c>
      <c r="HV38" s="1">
        <f t="shared" si="17"/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</row>
    <row r="39" spans="1:249" x14ac:dyDescent="0.25">
      <c r="A39" s="1">
        <v>38</v>
      </c>
      <c r="B39" s="1" t="s">
        <v>234</v>
      </c>
      <c r="C39" s="1" t="s">
        <v>235</v>
      </c>
      <c r="D39" s="1" t="s">
        <v>236</v>
      </c>
      <c r="E39" s="1" t="s">
        <v>236</v>
      </c>
      <c r="F39" s="1">
        <v>0</v>
      </c>
      <c r="G39" s="1">
        <v>1</v>
      </c>
      <c r="H39" s="1">
        <v>0</v>
      </c>
      <c r="I39" s="1">
        <v>38</v>
      </c>
      <c r="J39" s="1">
        <v>1</v>
      </c>
      <c r="K39" s="1">
        <v>1</v>
      </c>
      <c r="M39" s="1">
        <v>1</v>
      </c>
      <c r="N39" s="1">
        <v>1</v>
      </c>
      <c r="O39" s="1">
        <v>3</v>
      </c>
      <c r="P39" s="1">
        <v>10</v>
      </c>
      <c r="Q39" s="1">
        <v>800</v>
      </c>
      <c r="R39" s="1">
        <v>0</v>
      </c>
      <c r="T39" s="1">
        <v>1</v>
      </c>
      <c r="U39" s="1">
        <v>600</v>
      </c>
      <c r="V39" s="1">
        <v>0</v>
      </c>
      <c r="X39" s="1">
        <v>5</v>
      </c>
      <c r="Y39" s="1">
        <f t="shared" si="0"/>
        <v>0</v>
      </c>
      <c r="Z39" s="1">
        <f t="shared" si="1"/>
        <v>1</v>
      </c>
      <c r="AA39" s="1">
        <v>11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0</v>
      </c>
      <c r="AK39" s="1">
        <v>0</v>
      </c>
      <c r="AL39" s="1">
        <v>1</v>
      </c>
      <c r="AM39" s="1">
        <v>8</v>
      </c>
      <c r="AO39" s="1">
        <v>1</v>
      </c>
      <c r="AP39" s="1">
        <v>0</v>
      </c>
      <c r="AQ39" s="1">
        <v>0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2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G39" s="1" t="s">
        <v>224</v>
      </c>
      <c r="BR39" s="1">
        <v>0</v>
      </c>
      <c r="BS39" s="1">
        <v>0</v>
      </c>
      <c r="BT39" s="1">
        <v>0</v>
      </c>
      <c r="BU39" s="1">
        <v>1</v>
      </c>
      <c r="BV39" s="1">
        <v>1</v>
      </c>
      <c r="BW39" s="1">
        <v>1</v>
      </c>
      <c r="BX39" s="1">
        <v>0</v>
      </c>
      <c r="BZ39" s="1">
        <v>1</v>
      </c>
      <c r="CF39" s="1">
        <f t="shared" si="2"/>
        <v>0</v>
      </c>
      <c r="CH39" s="1">
        <v>2</v>
      </c>
      <c r="CO39" s="1">
        <v>1200</v>
      </c>
      <c r="CV39" s="1">
        <v>2</v>
      </c>
      <c r="DB39" s="7">
        <f t="shared" si="3"/>
        <v>0.6</v>
      </c>
      <c r="DC39" s="5">
        <f t="shared" si="4"/>
        <v>1</v>
      </c>
      <c r="DE39" s="1">
        <v>3000</v>
      </c>
      <c r="DL39" s="1">
        <v>8</v>
      </c>
      <c r="DR39" s="1">
        <f t="shared" si="5"/>
        <v>8</v>
      </c>
      <c r="DT39" s="1">
        <v>1</v>
      </c>
      <c r="DZ39" s="1">
        <f t="shared" si="6"/>
        <v>1</v>
      </c>
      <c r="EB39" s="1">
        <v>1</v>
      </c>
      <c r="EC39" s="1">
        <v>1</v>
      </c>
      <c r="EF39" s="1">
        <f t="shared" si="7"/>
        <v>1</v>
      </c>
      <c r="EH39" s="1">
        <v>0</v>
      </c>
      <c r="EN39" s="1">
        <f t="shared" si="8"/>
        <v>0</v>
      </c>
      <c r="EP39" s="1">
        <v>1</v>
      </c>
      <c r="EV39" s="1">
        <f t="shared" si="9"/>
        <v>1</v>
      </c>
      <c r="EX39" s="1">
        <v>1</v>
      </c>
      <c r="FE39" s="1">
        <v>1</v>
      </c>
      <c r="FK39" s="1">
        <f t="shared" si="10"/>
        <v>1</v>
      </c>
      <c r="FM39" s="1">
        <v>0</v>
      </c>
      <c r="FS39" s="1">
        <f t="shared" si="11"/>
        <v>0</v>
      </c>
      <c r="FU39" s="1">
        <v>0</v>
      </c>
      <c r="GA39" s="1">
        <f t="shared" si="12"/>
        <v>0</v>
      </c>
      <c r="GJ39" s="1">
        <v>0</v>
      </c>
      <c r="GP39" s="1">
        <f t="shared" si="13"/>
        <v>0</v>
      </c>
      <c r="GR39" s="1">
        <v>4000</v>
      </c>
      <c r="GX39" s="1">
        <f t="shared" si="14"/>
        <v>4</v>
      </c>
      <c r="GZ39" s="1">
        <v>1</v>
      </c>
      <c r="HF39" s="1">
        <f t="shared" si="15"/>
        <v>1</v>
      </c>
      <c r="HH39" s="1">
        <v>11</v>
      </c>
      <c r="HN39" s="1">
        <f t="shared" si="16"/>
        <v>11</v>
      </c>
      <c r="HP39" s="1">
        <v>0</v>
      </c>
      <c r="HV39" s="1">
        <f t="shared" si="17"/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</row>
    <row r="40" spans="1:249" x14ac:dyDescent="0.25">
      <c r="A40" s="1">
        <v>39</v>
      </c>
      <c r="B40" s="1" t="s">
        <v>234</v>
      </c>
      <c r="C40" s="1" t="s">
        <v>235</v>
      </c>
      <c r="D40" s="1" t="s">
        <v>236</v>
      </c>
      <c r="E40" s="1" t="s">
        <v>236</v>
      </c>
      <c r="F40" s="1">
        <v>0</v>
      </c>
      <c r="G40" s="1">
        <v>1</v>
      </c>
      <c r="H40" s="1">
        <v>0</v>
      </c>
      <c r="I40" s="1">
        <v>26</v>
      </c>
      <c r="J40" s="1">
        <v>1</v>
      </c>
      <c r="K40" s="1">
        <v>1</v>
      </c>
      <c r="M40" s="1">
        <v>0</v>
      </c>
      <c r="N40" s="1">
        <v>1</v>
      </c>
      <c r="O40" s="1">
        <v>4</v>
      </c>
      <c r="P40" s="1">
        <v>26</v>
      </c>
      <c r="Q40" s="1">
        <v>800</v>
      </c>
      <c r="R40" s="1">
        <v>0</v>
      </c>
      <c r="T40" s="1">
        <v>1</v>
      </c>
      <c r="U40" s="1">
        <v>500</v>
      </c>
      <c r="V40" s="1">
        <v>0</v>
      </c>
      <c r="X40" s="1">
        <v>5</v>
      </c>
      <c r="Y40" s="1">
        <f t="shared" si="0"/>
        <v>0</v>
      </c>
      <c r="Z40" s="1">
        <f t="shared" si="1"/>
        <v>1</v>
      </c>
      <c r="AA40" s="1">
        <v>11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0</v>
      </c>
      <c r="AK40" s="1">
        <v>0</v>
      </c>
      <c r="AL40" s="1">
        <v>1</v>
      </c>
      <c r="AM40" s="1">
        <v>8</v>
      </c>
      <c r="AO40" s="1">
        <v>1</v>
      </c>
      <c r="AP40" s="1">
        <v>0</v>
      </c>
      <c r="AQ40" s="1">
        <v>0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G40" s="1" t="s">
        <v>224</v>
      </c>
      <c r="BR40" s="1">
        <v>0</v>
      </c>
      <c r="BS40" s="1">
        <v>0</v>
      </c>
      <c r="BT40" s="1">
        <v>0</v>
      </c>
      <c r="BU40" s="1">
        <v>1</v>
      </c>
      <c r="BV40" s="1">
        <v>1</v>
      </c>
      <c r="BW40" s="1">
        <v>1</v>
      </c>
      <c r="BX40" s="1">
        <v>0</v>
      </c>
      <c r="BZ40" s="1">
        <v>1</v>
      </c>
      <c r="CF40" s="1">
        <f t="shared" si="2"/>
        <v>0</v>
      </c>
      <c r="CH40" s="1">
        <v>1</v>
      </c>
      <c r="CO40" s="1">
        <v>1000</v>
      </c>
      <c r="CV40" s="1">
        <v>1</v>
      </c>
      <c r="DB40" s="7">
        <f t="shared" si="3"/>
        <v>1</v>
      </c>
      <c r="DC40" s="5">
        <f t="shared" si="4"/>
        <v>3</v>
      </c>
      <c r="DE40" s="1">
        <v>3000</v>
      </c>
      <c r="DL40" s="1">
        <v>7</v>
      </c>
      <c r="DR40" s="1">
        <f t="shared" si="5"/>
        <v>7</v>
      </c>
      <c r="DT40" s="1">
        <v>1</v>
      </c>
      <c r="DZ40" s="1">
        <f t="shared" si="6"/>
        <v>1</v>
      </c>
      <c r="EC40" s="1">
        <v>1</v>
      </c>
      <c r="EF40" s="1">
        <f t="shared" si="7"/>
        <v>1</v>
      </c>
      <c r="EH40" s="1">
        <v>0</v>
      </c>
      <c r="EN40" s="1">
        <f t="shared" si="8"/>
        <v>0</v>
      </c>
      <c r="EP40" s="1">
        <v>1</v>
      </c>
      <c r="EV40" s="1">
        <f t="shared" si="9"/>
        <v>1</v>
      </c>
      <c r="EX40" s="1">
        <v>1</v>
      </c>
      <c r="FE40" s="1">
        <v>1</v>
      </c>
      <c r="FK40" s="1">
        <f t="shared" si="10"/>
        <v>1</v>
      </c>
      <c r="FM40" s="1">
        <v>0</v>
      </c>
      <c r="FS40" s="1">
        <f t="shared" si="11"/>
        <v>0</v>
      </c>
      <c r="FU40" s="1">
        <v>0</v>
      </c>
      <c r="GA40" s="1">
        <f t="shared" si="12"/>
        <v>0</v>
      </c>
      <c r="GJ40" s="1">
        <v>0</v>
      </c>
      <c r="GP40" s="1">
        <f t="shared" si="13"/>
        <v>0</v>
      </c>
      <c r="GR40" s="1">
        <v>3000</v>
      </c>
      <c r="GX40" s="1">
        <f t="shared" si="14"/>
        <v>3</v>
      </c>
      <c r="GZ40" s="1">
        <v>1</v>
      </c>
      <c r="HF40" s="1">
        <f t="shared" si="15"/>
        <v>1</v>
      </c>
      <c r="HH40" s="1">
        <v>10</v>
      </c>
      <c r="HN40" s="1">
        <f t="shared" si="16"/>
        <v>10</v>
      </c>
      <c r="HP40" s="1">
        <v>0</v>
      </c>
      <c r="HV40" s="1">
        <f t="shared" si="17"/>
        <v>0</v>
      </c>
      <c r="IK40" s="1">
        <v>0</v>
      </c>
      <c r="IL40" s="1">
        <v>0</v>
      </c>
      <c r="IM40" s="1">
        <v>0</v>
      </c>
      <c r="IN40" s="1">
        <v>40</v>
      </c>
      <c r="IO40" s="1">
        <v>0</v>
      </c>
    </row>
    <row r="41" spans="1:249" x14ac:dyDescent="0.25">
      <c r="A41" s="1">
        <v>40</v>
      </c>
      <c r="B41" s="1" t="s">
        <v>234</v>
      </c>
      <c r="C41" s="1" t="s">
        <v>235</v>
      </c>
      <c r="D41" s="1" t="s">
        <v>236</v>
      </c>
      <c r="E41" s="1" t="s">
        <v>236</v>
      </c>
      <c r="F41" s="1">
        <v>0</v>
      </c>
      <c r="G41" s="1">
        <v>1</v>
      </c>
      <c r="H41" s="1">
        <v>0</v>
      </c>
      <c r="I41" s="1">
        <v>30</v>
      </c>
      <c r="J41" s="1">
        <v>1</v>
      </c>
      <c r="K41" s="1">
        <v>1</v>
      </c>
      <c r="M41" s="1">
        <v>1</v>
      </c>
      <c r="N41" s="1">
        <v>1</v>
      </c>
      <c r="O41" s="1">
        <v>4</v>
      </c>
      <c r="P41" s="1">
        <v>15</v>
      </c>
      <c r="Q41" s="1">
        <v>800</v>
      </c>
      <c r="R41" s="1">
        <v>0</v>
      </c>
      <c r="T41" s="1">
        <v>1</v>
      </c>
      <c r="U41" s="1">
        <v>500</v>
      </c>
      <c r="V41" s="1">
        <v>0</v>
      </c>
      <c r="X41" s="1">
        <v>5</v>
      </c>
      <c r="Y41" s="1">
        <f t="shared" si="0"/>
        <v>0</v>
      </c>
      <c r="Z41" s="1">
        <f t="shared" si="1"/>
        <v>1</v>
      </c>
      <c r="AA41" s="1">
        <v>11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0</v>
      </c>
      <c r="AK41" s="1">
        <v>0</v>
      </c>
      <c r="AL41" s="1">
        <v>1</v>
      </c>
      <c r="AM41" s="1">
        <v>10</v>
      </c>
      <c r="AO41" s="1">
        <v>1</v>
      </c>
      <c r="AP41" s="1">
        <v>0</v>
      </c>
      <c r="AQ41" s="1">
        <v>0</v>
      </c>
      <c r="AS41" s="1">
        <v>1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G41" s="1" t="s">
        <v>224</v>
      </c>
      <c r="BR41" s="1">
        <v>0</v>
      </c>
      <c r="BS41" s="1">
        <v>0</v>
      </c>
      <c r="BT41" s="1">
        <v>1</v>
      </c>
      <c r="BU41" s="1">
        <v>1</v>
      </c>
      <c r="BV41" s="1">
        <v>1</v>
      </c>
      <c r="BW41" s="1">
        <v>1</v>
      </c>
      <c r="BX41" s="1">
        <v>0</v>
      </c>
      <c r="BZ41" s="1">
        <v>1</v>
      </c>
      <c r="CF41" s="1">
        <f t="shared" si="2"/>
        <v>0</v>
      </c>
      <c r="CH41" s="1">
        <v>1</v>
      </c>
      <c r="CO41" s="1">
        <v>1000</v>
      </c>
      <c r="CV41" s="1">
        <v>1</v>
      </c>
      <c r="DB41" s="7">
        <f t="shared" si="3"/>
        <v>1</v>
      </c>
      <c r="DC41" s="5">
        <f t="shared" si="4"/>
        <v>3</v>
      </c>
      <c r="DE41" s="1">
        <v>3000</v>
      </c>
      <c r="DL41" s="1">
        <v>8</v>
      </c>
      <c r="DR41" s="1">
        <f t="shared" si="5"/>
        <v>8</v>
      </c>
      <c r="DT41" s="1">
        <v>1</v>
      </c>
      <c r="DZ41" s="1">
        <f t="shared" si="6"/>
        <v>1</v>
      </c>
      <c r="EC41" s="1">
        <v>1</v>
      </c>
      <c r="EF41" s="1">
        <f t="shared" si="7"/>
        <v>1</v>
      </c>
      <c r="EH41" s="1">
        <v>0</v>
      </c>
      <c r="EN41" s="1">
        <f t="shared" si="8"/>
        <v>0</v>
      </c>
      <c r="EP41" s="1">
        <v>1</v>
      </c>
      <c r="EV41" s="1">
        <f t="shared" si="9"/>
        <v>1</v>
      </c>
      <c r="EX41" s="1">
        <v>1</v>
      </c>
      <c r="FE41" s="1">
        <v>1</v>
      </c>
      <c r="FK41" s="1">
        <f t="shared" si="10"/>
        <v>1</v>
      </c>
      <c r="FM41" s="1">
        <v>0</v>
      </c>
      <c r="FS41" s="1">
        <f t="shared" si="11"/>
        <v>0</v>
      </c>
      <c r="FU41" s="1">
        <v>0</v>
      </c>
      <c r="FV41" s="1">
        <v>0</v>
      </c>
      <c r="GA41" s="1">
        <f t="shared" si="12"/>
        <v>0</v>
      </c>
      <c r="GJ41" s="1">
        <v>0</v>
      </c>
      <c r="GP41" s="1">
        <f t="shared" si="13"/>
        <v>0</v>
      </c>
      <c r="GR41" s="1">
        <v>3500</v>
      </c>
      <c r="GX41" s="1">
        <f t="shared" si="14"/>
        <v>3.5</v>
      </c>
      <c r="GZ41" s="1">
        <v>1</v>
      </c>
      <c r="HF41" s="1">
        <f t="shared" si="15"/>
        <v>1</v>
      </c>
      <c r="HH41" s="1">
        <v>11</v>
      </c>
      <c r="HN41" s="1">
        <f t="shared" si="16"/>
        <v>11</v>
      </c>
      <c r="HP41" s="1">
        <v>0</v>
      </c>
      <c r="HV41" s="1">
        <f t="shared" si="17"/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</row>
    <row r="42" spans="1:249" x14ac:dyDescent="0.25">
      <c r="A42" s="1">
        <v>41</v>
      </c>
      <c r="B42" s="1" t="s">
        <v>234</v>
      </c>
      <c r="C42" s="1" t="s">
        <v>235</v>
      </c>
      <c r="D42" s="1" t="s">
        <v>236</v>
      </c>
      <c r="E42" s="1" t="s">
        <v>236</v>
      </c>
      <c r="F42" s="1">
        <v>0</v>
      </c>
      <c r="G42" s="1">
        <v>1</v>
      </c>
      <c r="H42" s="1">
        <v>0</v>
      </c>
      <c r="I42" s="1">
        <v>41</v>
      </c>
      <c r="J42" s="1">
        <v>1</v>
      </c>
      <c r="K42" s="1">
        <v>1</v>
      </c>
      <c r="M42" s="1">
        <v>1</v>
      </c>
      <c r="N42" s="1">
        <v>1</v>
      </c>
      <c r="O42" s="1">
        <v>4</v>
      </c>
      <c r="P42" s="1">
        <v>20</v>
      </c>
      <c r="Q42" s="1">
        <v>800</v>
      </c>
      <c r="R42" s="1">
        <v>0</v>
      </c>
      <c r="T42" s="1">
        <v>1</v>
      </c>
      <c r="U42" s="1">
        <v>600</v>
      </c>
      <c r="V42" s="1">
        <v>0</v>
      </c>
      <c r="X42" s="1">
        <v>5</v>
      </c>
      <c r="Y42" s="1">
        <f t="shared" si="0"/>
        <v>0</v>
      </c>
      <c r="Z42" s="1">
        <f t="shared" si="1"/>
        <v>1</v>
      </c>
      <c r="AA42" s="1">
        <v>11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0</v>
      </c>
      <c r="AK42" s="1">
        <v>0</v>
      </c>
      <c r="AL42" s="1">
        <v>1</v>
      </c>
      <c r="AM42" s="1">
        <v>10</v>
      </c>
      <c r="AO42" s="1">
        <v>1</v>
      </c>
      <c r="AP42" s="1">
        <v>0</v>
      </c>
      <c r="AQ42" s="1">
        <v>0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2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G42" s="1" t="s">
        <v>224</v>
      </c>
      <c r="BR42" s="1">
        <v>0</v>
      </c>
      <c r="BS42" s="1">
        <v>0</v>
      </c>
      <c r="BT42" s="1">
        <v>1</v>
      </c>
      <c r="BU42" s="1">
        <v>1</v>
      </c>
      <c r="BV42" s="1">
        <v>1</v>
      </c>
      <c r="BW42" s="1">
        <v>1</v>
      </c>
      <c r="BX42" s="1">
        <v>0</v>
      </c>
      <c r="BZ42" s="1">
        <v>1</v>
      </c>
      <c r="CA42" s="1">
        <v>1</v>
      </c>
      <c r="CF42" s="1">
        <f t="shared" si="2"/>
        <v>1</v>
      </c>
      <c r="CH42" s="1">
        <v>1</v>
      </c>
      <c r="CI42" s="1">
        <v>1</v>
      </c>
      <c r="CO42" s="1">
        <v>1200</v>
      </c>
      <c r="CP42" s="1">
        <v>800</v>
      </c>
      <c r="CV42" s="1">
        <v>1</v>
      </c>
      <c r="CW42" s="1">
        <v>1</v>
      </c>
      <c r="DB42" s="7">
        <f t="shared" si="3"/>
        <v>1</v>
      </c>
      <c r="DC42" s="5">
        <f t="shared" si="4"/>
        <v>3</v>
      </c>
      <c r="DE42" s="1">
        <v>3000</v>
      </c>
      <c r="DF42" s="1">
        <v>2800</v>
      </c>
      <c r="DL42" s="1">
        <v>6</v>
      </c>
      <c r="DM42" s="1">
        <v>10</v>
      </c>
      <c r="DR42" s="1">
        <f t="shared" si="5"/>
        <v>10</v>
      </c>
      <c r="DU42" s="1">
        <v>1</v>
      </c>
      <c r="DZ42" s="1">
        <f t="shared" si="6"/>
        <v>1</v>
      </c>
      <c r="EC42" s="1">
        <v>1</v>
      </c>
      <c r="EF42" s="1">
        <f t="shared" si="7"/>
        <v>1</v>
      </c>
      <c r="EH42" s="1">
        <v>0</v>
      </c>
      <c r="EI42" s="1">
        <v>0</v>
      </c>
      <c r="EN42" s="1">
        <f t="shared" si="8"/>
        <v>0</v>
      </c>
      <c r="EP42" s="1">
        <v>1</v>
      </c>
      <c r="EQ42" s="1">
        <v>1</v>
      </c>
      <c r="EV42" s="1">
        <f t="shared" si="9"/>
        <v>1</v>
      </c>
      <c r="EX42" s="1">
        <v>1</v>
      </c>
      <c r="EY42" s="1">
        <v>1</v>
      </c>
      <c r="FE42" s="1">
        <v>1</v>
      </c>
      <c r="FF42" s="1">
        <v>1</v>
      </c>
      <c r="FK42" s="1">
        <f t="shared" si="10"/>
        <v>1</v>
      </c>
      <c r="FM42" s="1">
        <v>0</v>
      </c>
      <c r="FN42" s="1">
        <v>0</v>
      </c>
      <c r="FS42" s="1">
        <f t="shared" si="11"/>
        <v>0</v>
      </c>
      <c r="FU42" s="1">
        <v>0</v>
      </c>
      <c r="GA42" s="1">
        <f t="shared" si="12"/>
        <v>0</v>
      </c>
      <c r="GJ42" s="1">
        <v>0</v>
      </c>
      <c r="GK42" s="1">
        <v>0</v>
      </c>
      <c r="GP42" s="1">
        <f t="shared" si="13"/>
        <v>0</v>
      </c>
      <c r="GR42" s="1">
        <v>3500</v>
      </c>
      <c r="GS42" s="1">
        <v>3500</v>
      </c>
      <c r="GX42" s="1">
        <f t="shared" si="14"/>
        <v>7</v>
      </c>
      <c r="GZ42" s="1">
        <v>1</v>
      </c>
      <c r="HA42" s="1">
        <v>1</v>
      </c>
      <c r="HF42" s="1">
        <f t="shared" si="15"/>
        <v>1</v>
      </c>
      <c r="HH42" s="1">
        <v>11</v>
      </c>
      <c r="HI42" s="1">
        <v>11</v>
      </c>
      <c r="HN42" s="1">
        <f t="shared" si="16"/>
        <v>11</v>
      </c>
      <c r="HP42" s="1">
        <v>0</v>
      </c>
      <c r="HQ42" s="1">
        <v>0</v>
      </c>
      <c r="HV42" s="1">
        <f t="shared" si="17"/>
        <v>0</v>
      </c>
      <c r="IK42" s="1">
        <v>0</v>
      </c>
      <c r="IL42" s="1">
        <v>64</v>
      </c>
      <c r="IM42" s="1">
        <v>16</v>
      </c>
      <c r="IN42" s="1">
        <v>80</v>
      </c>
      <c r="IO42" s="1">
        <v>0</v>
      </c>
    </row>
    <row r="43" spans="1:249" x14ac:dyDescent="0.25">
      <c r="A43" s="1">
        <v>42</v>
      </c>
      <c r="B43" s="1" t="s">
        <v>237</v>
      </c>
      <c r="C43" s="1" t="s">
        <v>194</v>
      </c>
      <c r="D43" s="1" t="s">
        <v>239</v>
      </c>
      <c r="E43" s="1" t="s">
        <v>239</v>
      </c>
      <c r="F43" s="1">
        <v>1</v>
      </c>
      <c r="G43" s="1">
        <v>0</v>
      </c>
      <c r="H43" s="1">
        <v>0</v>
      </c>
      <c r="I43" s="1">
        <v>65</v>
      </c>
      <c r="J43" s="1">
        <v>0</v>
      </c>
      <c r="K43" s="1">
        <v>1</v>
      </c>
      <c r="M43" s="1">
        <v>0</v>
      </c>
      <c r="N43" s="1">
        <v>0</v>
      </c>
      <c r="O43" s="1">
        <v>4</v>
      </c>
      <c r="P43" s="1">
        <v>40</v>
      </c>
      <c r="Q43" s="1">
        <v>1200</v>
      </c>
      <c r="R43" s="1">
        <v>1</v>
      </c>
      <c r="S43" s="1" t="s">
        <v>197</v>
      </c>
      <c r="T43" s="1">
        <v>0</v>
      </c>
      <c r="U43" s="1">
        <v>0</v>
      </c>
      <c r="V43" s="1">
        <v>1</v>
      </c>
      <c r="X43" s="1">
        <v>0</v>
      </c>
      <c r="Y43" s="1">
        <f t="shared" si="0"/>
        <v>0</v>
      </c>
      <c r="Z43" s="1">
        <f t="shared" si="1"/>
        <v>0</v>
      </c>
      <c r="AA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1</v>
      </c>
      <c r="AI43" s="1">
        <v>1</v>
      </c>
      <c r="AJ43" s="1">
        <v>0</v>
      </c>
      <c r="AK43" s="1">
        <v>0</v>
      </c>
      <c r="AL43" s="1">
        <v>1</v>
      </c>
      <c r="AM43" s="1">
        <v>10</v>
      </c>
      <c r="AO43" s="1">
        <v>1</v>
      </c>
      <c r="AP43" s="1">
        <v>1</v>
      </c>
      <c r="AQ43" s="1">
        <v>0</v>
      </c>
      <c r="AS43" s="1">
        <v>1</v>
      </c>
      <c r="AT43" s="1">
        <v>1</v>
      </c>
      <c r="AU43" s="1">
        <v>1</v>
      </c>
      <c r="AV43" s="1">
        <v>0</v>
      </c>
      <c r="AW43" s="1">
        <v>0</v>
      </c>
      <c r="AX43" s="1">
        <v>0</v>
      </c>
      <c r="AY43" s="1">
        <v>3</v>
      </c>
      <c r="AZ43" s="1">
        <v>1</v>
      </c>
      <c r="BA43" s="1">
        <f>1/2</f>
        <v>0.5</v>
      </c>
      <c r="BB43" s="1">
        <v>0</v>
      </c>
      <c r="BC43" s="1">
        <v>0</v>
      </c>
      <c r="BD43" s="1">
        <v>0</v>
      </c>
      <c r="BE43" s="1">
        <v>0</v>
      </c>
      <c r="BG43" s="1" t="s">
        <v>224</v>
      </c>
      <c r="BH43" s="1" t="s">
        <v>210</v>
      </c>
      <c r="BI43" s="1" t="s">
        <v>230</v>
      </c>
      <c r="BK43" s="1" t="s">
        <v>282</v>
      </c>
      <c r="BL43" s="1" t="s">
        <v>221</v>
      </c>
      <c r="BR43" s="1">
        <v>1</v>
      </c>
      <c r="BS43" s="1">
        <v>0</v>
      </c>
      <c r="BT43" s="1">
        <v>1</v>
      </c>
      <c r="BU43" s="1">
        <v>1</v>
      </c>
      <c r="BV43" s="1">
        <v>1</v>
      </c>
      <c r="BW43" s="1">
        <v>1</v>
      </c>
      <c r="BX43" s="1">
        <v>0</v>
      </c>
      <c r="BZ43" s="1">
        <v>1</v>
      </c>
      <c r="CF43" s="1">
        <f t="shared" si="2"/>
        <v>0</v>
      </c>
      <c r="CH43" s="1">
        <v>3</v>
      </c>
      <c r="CO43" s="1">
        <v>2000</v>
      </c>
      <c r="CV43" s="1">
        <v>2</v>
      </c>
      <c r="DB43" s="7">
        <f t="shared" si="3"/>
        <v>1</v>
      </c>
      <c r="DC43" s="5">
        <f t="shared" si="4"/>
        <v>3</v>
      </c>
      <c r="DE43" s="1">
        <v>9000</v>
      </c>
      <c r="DL43" s="1">
        <v>8</v>
      </c>
      <c r="DR43" s="1">
        <f t="shared" si="5"/>
        <v>8</v>
      </c>
      <c r="DT43" s="1">
        <v>1</v>
      </c>
      <c r="DZ43" s="1">
        <f t="shared" si="6"/>
        <v>1</v>
      </c>
      <c r="EC43" s="1">
        <v>1</v>
      </c>
      <c r="ED43" s="1">
        <v>1</v>
      </c>
      <c r="EF43" s="1">
        <f t="shared" si="7"/>
        <v>1</v>
      </c>
      <c r="EH43" s="1">
        <v>1</v>
      </c>
      <c r="EN43" s="1">
        <f t="shared" si="8"/>
        <v>1</v>
      </c>
      <c r="EP43" s="1">
        <v>1</v>
      </c>
      <c r="EV43" s="1">
        <f t="shared" si="9"/>
        <v>1</v>
      </c>
      <c r="EX43" s="1">
        <v>1</v>
      </c>
      <c r="FE43" s="1">
        <v>1</v>
      </c>
      <c r="FK43" s="1">
        <f t="shared" si="10"/>
        <v>1</v>
      </c>
      <c r="FM43" s="1">
        <v>0</v>
      </c>
      <c r="FS43" s="1">
        <f t="shared" si="11"/>
        <v>0</v>
      </c>
      <c r="FU43" s="1">
        <v>1</v>
      </c>
      <c r="GA43" s="1">
        <f t="shared" si="12"/>
        <v>1</v>
      </c>
      <c r="GC43" s="1" t="s">
        <v>270</v>
      </c>
      <c r="GJ43" s="1">
        <v>0</v>
      </c>
      <c r="GP43" s="1">
        <f t="shared" si="13"/>
        <v>0</v>
      </c>
      <c r="GR43" s="1">
        <v>2000</v>
      </c>
      <c r="GX43" s="1">
        <f t="shared" si="14"/>
        <v>2</v>
      </c>
      <c r="GZ43" s="1">
        <v>1</v>
      </c>
      <c r="HF43" s="1">
        <f t="shared" si="15"/>
        <v>1</v>
      </c>
      <c r="HH43" s="1">
        <v>13</v>
      </c>
      <c r="HN43" s="1">
        <f t="shared" si="16"/>
        <v>13</v>
      </c>
      <c r="HP43" s="1">
        <v>0</v>
      </c>
      <c r="HV43" s="1">
        <f t="shared" si="17"/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</row>
    <row r="44" spans="1:249" x14ac:dyDescent="0.25">
      <c r="A44" s="1">
        <v>43</v>
      </c>
      <c r="B44" s="1" t="s">
        <v>237</v>
      </c>
      <c r="C44" s="1" t="s">
        <v>194</v>
      </c>
      <c r="D44" s="1" t="s">
        <v>271</v>
      </c>
      <c r="E44" s="1" t="s">
        <v>239</v>
      </c>
      <c r="F44" s="1">
        <v>1</v>
      </c>
      <c r="G44" s="1">
        <v>0</v>
      </c>
      <c r="H44" s="1">
        <v>0</v>
      </c>
      <c r="I44" s="1">
        <v>62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6</v>
      </c>
      <c r="P44" s="1">
        <v>53</v>
      </c>
      <c r="Q44" s="1">
        <v>1500</v>
      </c>
      <c r="R44" s="1">
        <v>0</v>
      </c>
      <c r="T44" s="1">
        <v>0</v>
      </c>
      <c r="U44" s="1">
        <v>0</v>
      </c>
      <c r="V44" s="1">
        <v>1</v>
      </c>
      <c r="X44" s="1">
        <v>0</v>
      </c>
      <c r="Y44" s="1">
        <f t="shared" si="0"/>
        <v>0</v>
      </c>
      <c r="Z44" s="1">
        <f t="shared" si="1"/>
        <v>0</v>
      </c>
      <c r="AA44" s="1">
        <v>0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1</v>
      </c>
      <c r="AI44" s="1">
        <v>1</v>
      </c>
      <c r="AJ44" s="1">
        <v>0</v>
      </c>
      <c r="AK44" s="1">
        <v>0</v>
      </c>
      <c r="AL44" s="1">
        <v>0</v>
      </c>
      <c r="AM44" s="1">
        <v>2</v>
      </c>
      <c r="AO44" s="1">
        <v>1</v>
      </c>
      <c r="AP44" s="1">
        <v>0</v>
      </c>
      <c r="AQ44" s="1">
        <v>0</v>
      </c>
      <c r="AS44" s="1">
        <v>1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3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2</v>
      </c>
      <c r="BG44" s="1" t="s">
        <v>224</v>
      </c>
      <c r="BH44" s="1" t="s">
        <v>210</v>
      </c>
      <c r="BI44" s="1" t="s">
        <v>230</v>
      </c>
      <c r="BK44" s="1" t="s">
        <v>282</v>
      </c>
      <c r="BR44" s="1">
        <v>1</v>
      </c>
      <c r="BS44" s="1">
        <v>0</v>
      </c>
      <c r="BT44" s="1">
        <v>0</v>
      </c>
      <c r="BU44" s="1">
        <v>0</v>
      </c>
      <c r="BV44" s="1">
        <v>0</v>
      </c>
      <c r="BW44" s="1">
        <v>1</v>
      </c>
      <c r="BX44" s="1">
        <v>0</v>
      </c>
      <c r="BZ44" s="1">
        <v>1</v>
      </c>
      <c r="CF44" s="1">
        <f t="shared" si="2"/>
        <v>0</v>
      </c>
      <c r="CH44" s="1">
        <v>3</v>
      </c>
      <c r="CO44" s="1">
        <v>700</v>
      </c>
      <c r="CV44" s="1">
        <v>1</v>
      </c>
      <c r="DB44" s="7">
        <f t="shared" si="3"/>
        <v>0.7</v>
      </c>
      <c r="DC44" s="5">
        <f t="shared" si="4"/>
        <v>2</v>
      </c>
      <c r="DE44" s="1">
        <v>3300</v>
      </c>
      <c r="DL44" s="1">
        <v>5</v>
      </c>
      <c r="DR44" s="1">
        <f t="shared" si="5"/>
        <v>5</v>
      </c>
      <c r="DT44" s="1">
        <v>1</v>
      </c>
      <c r="DZ44" s="1">
        <f t="shared" si="6"/>
        <v>1</v>
      </c>
      <c r="EF44" s="1">
        <f t="shared" si="7"/>
        <v>0</v>
      </c>
      <c r="EH44" s="1">
        <v>1</v>
      </c>
      <c r="EN44" s="1">
        <f t="shared" si="8"/>
        <v>1</v>
      </c>
      <c r="EP44" s="1">
        <v>1</v>
      </c>
      <c r="EV44" s="1">
        <f t="shared" si="9"/>
        <v>1</v>
      </c>
      <c r="EX44" s="1">
        <v>0</v>
      </c>
      <c r="FE44" s="1">
        <v>1</v>
      </c>
      <c r="FK44" s="1">
        <f t="shared" si="10"/>
        <v>1</v>
      </c>
      <c r="FM44" s="1">
        <v>0</v>
      </c>
      <c r="FS44" s="1">
        <f t="shared" si="11"/>
        <v>0</v>
      </c>
      <c r="FU44" s="1">
        <v>1</v>
      </c>
      <c r="GA44" s="1">
        <f t="shared" si="12"/>
        <v>1</v>
      </c>
      <c r="GC44" s="1" t="s">
        <v>272</v>
      </c>
      <c r="GJ44" s="1">
        <v>10000</v>
      </c>
      <c r="GP44" s="1">
        <f t="shared" si="13"/>
        <v>10000</v>
      </c>
      <c r="GR44" s="1">
        <v>3000</v>
      </c>
      <c r="GX44" s="1">
        <f t="shared" si="14"/>
        <v>3</v>
      </c>
      <c r="GZ44" s="1">
        <v>1</v>
      </c>
      <c r="HF44" s="1">
        <f t="shared" si="15"/>
        <v>1</v>
      </c>
      <c r="HH44" s="1">
        <v>12</v>
      </c>
      <c r="HN44" s="1">
        <f t="shared" si="16"/>
        <v>12</v>
      </c>
      <c r="HP44" s="1">
        <v>0</v>
      </c>
      <c r="HV44" s="1">
        <f t="shared" si="17"/>
        <v>0</v>
      </c>
      <c r="IK44" s="1">
        <v>0</v>
      </c>
      <c r="IL44" s="1">
        <v>120</v>
      </c>
      <c r="IM44" s="1">
        <v>0</v>
      </c>
      <c r="IN44" s="1">
        <v>120</v>
      </c>
      <c r="IO44" s="1">
        <v>0</v>
      </c>
    </row>
    <row r="45" spans="1:249" x14ac:dyDescent="0.25">
      <c r="A45" s="1">
        <v>44</v>
      </c>
      <c r="B45" s="1" t="s">
        <v>237</v>
      </c>
      <c r="C45" s="1" t="s">
        <v>194</v>
      </c>
      <c r="D45" s="1" t="s">
        <v>236</v>
      </c>
      <c r="E45" s="1" t="s">
        <v>236</v>
      </c>
      <c r="F45" s="1">
        <v>0</v>
      </c>
      <c r="G45" s="1">
        <v>1</v>
      </c>
      <c r="H45" s="1">
        <v>0</v>
      </c>
      <c r="I45" s="1">
        <v>54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2</v>
      </c>
      <c r="P45" s="1">
        <v>22</v>
      </c>
      <c r="Q45" s="1">
        <v>700</v>
      </c>
      <c r="R45" s="1">
        <v>0</v>
      </c>
      <c r="T45" s="1">
        <v>0</v>
      </c>
      <c r="U45" s="1">
        <v>0</v>
      </c>
      <c r="V45" s="1">
        <v>1</v>
      </c>
      <c r="W45" s="1" t="s">
        <v>273</v>
      </c>
      <c r="X45" s="1">
        <v>3</v>
      </c>
      <c r="Y45" s="1">
        <f t="shared" si="0"/>
        <v>1</v>
      </c>
      <c r="Z45" s="1">
        <f t="shared" si="1"/>
        <v>0</v>
      </c>
      <c r="AA45" s="1">
        <v>6</v>
      </c>
      <c r="AC45" s="1">
        <v>0</v>
      </c>
      <c r="AD45" s="1">
        <v>0</v>
      </c>
      <c r="AE45" s="1">
        <v>1</v>
      </c>
      <c r="AF45" s="1">
        <v>1</v>
      </c>
      <c r="AG45" s="1">
        <v>1</v>
      </c>
      <c r="AH45" s="1">
        <v>0</v>
      </c>
      <c r="AI45" s="1">
        <v>1</v>
      </c>
      <c r="AJ45" s="1">
        <v>0</v>
      </c>
      <c r="AK45" s="1">
        <v>0</v>
      </c>
      <c r="AL45" s="1">
        <v>1</v>
      </c>
      <c r="AM45" s="1">
        <v>6</v>
      </c>
      <c r="AO45" s="1">
        <v>1</v>
      </c>
      <c r="AP45" s="1">
        <v>0</v>
      </c>
      <c r="AQ45" s="1">
        <v>0</v>
      </c>
      <c r="AS45" s="1">
        <v>1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2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6</v>
      </c>
      <c r="BG45" s="1" t="s">
        <v>224</v>
      </c>
      <c r="BR45" s="1">
        <v>0</v>
      </c>
      <c r="BS45" s="1">
        <v>0</v>
      </c>
      <c r="BT45" s="1">
        <v>0</v>
      </c>
      <c r="BU45" s="1">
        <v>1</v>
      </c>
      <c r="BV45" s="1">
        <v>1</v>
      </c>
      <c r="BW45" s="1">
        <v>1</v>
      </c>
      <c r="BX45" s="1">
        <v>0</v>
      </c>
      <c r="BZ45" s="1">
        <v>1</v>
      </c>
      <c r="CF45" s="1">
        <f t="shared" si="2"/>
        <v>0</v>
      </c>
      <c r="CH45" s="1">
        <v>2</v>
      </c>
      <c r="CO45" s="1">
        <v>1600</v>
      </c>
      <c r="CV45" s="1">
        <v>2</v>
      </c>
      <c r="DB45" s="7">
        <f t="shared" si="3"/>
        <v>0.8</v>
      </c>
      <c r="DC45" s="5">
        <f t="shared" si="4"/>
        <v>2</v>
      </c>
      <c r="DE45" s="1">
        <v>3000</v>
      </c>
      <c r="DL45" s="1">
        <v>7</v>
      </c>
      <c r="DR45" s="1">
        <f t="shared" si="5"/>
        <v>7</v>
      </c>
      <c r="DT45" s="1">
        <v>1</v>
      </c>
      <c r="DZ45" s="1">
        <f t="shared" si="6"/>
        <v>1</v>
      </c>
      <c r="ED45" s="1">
        <v>1</v>
      </c>
      <c r="EF45" s="1">
        <f t="shared" si="7"/>
        <v>1</v>
      </c>
      <c r="EH45" s="1">
        <v>0</v>
      </c>
      <c r="EN45" s="1">
        <f t="shared" si="8"/>
        <v>0</v>
      </c>
      <c r="EP45" s="1">
        <v>0</v>
      </c>
      <c r="EV45" s="1">
        <f t="shared" si="9"/>
        <v>0</v>
      </c>
      <c r="EX45" s="1">
        <v>0</v>
      </c>
      <c r="FE45" s="1">
        <v>1</v>
      </c>
      <c r="FK45" s="1">
        <f t="shared" si="10"/>
        <v>1</v>
      </c>
      <c r="FM45" s="1">
        <v>0</v>
      </c>
      <c r="FS45" s="1">
        <f t="shared" si="11"/>
        <v>0</v>
      </c>
      <c r="FU45" s="1">
        <v>0</v>
      </c>
      <c r="GA45" s="1">
        <f t="shared" si="12"/>
        <v>0</v>
      </c>
      <c r="GJ45" s="1">
        <v>0</v>
      </c>
      <c r="GP45" s="1">
        <f t="shared" si="13"/>
        <v>0</v>
      </c>
      <c r="GR45" s="1">
        <v>5000</v>
      </c>
      <c r="GX45" s="1">
        <f t="shared" si="14"/>
        <v>5</v>
      </c>
      <c r="GZ45" s="1">
        <v>1</v>
      </c>
      <c r="HF45" s="1">
        <f t="shared" si="15"/>
        <v>1</v>
      </c>
      <c r="HH45" s="1">
        <v>11.5</v>
      </c>
      <c r="HN45" s="1">
        <f t="shared" si="16"/>
        <v>11.5</v>
      </c>
      <c r="HP45" s="1">
        <v>0</v>
      </c>
      <c r="HV45" s="1">
        <f t="shared" si="17"/>
        <v>0</v>
      </c>
      <c r="IK45" s="1">
        <v>0</v>
      </c>
      <c r="IL45" s="1">
        <v>0</v>
      </c>
      <c r="IM45" s="1">
        <v>0</v>
      </c>
      <c r="IN45" s="1">
        <v>80</v>
      </c>
      <c r="IO45" s="1">
        <v>0</v>
      </c>
    </row>
    <row r="46" spans="1:249" x14ac:dyDescent="0.25">
      <c r="A46" s="1">
        <v>45</v>
      </c>
      <c r="B46" s="1" t="s">
        <v>237</v>
      </c>
      <c r="C46" s="1" t="s">
        <v>194</v>
      </c>
      <c r="D46" s="1" t="s">
        <v>274</v>
      </c>
      <c r="E46" s="1" t="s">
        <v>275</v>
      </c>
      <c r="F46" s="1">
        <v>0</v>
      </c>
      <c r="G46" s="1">
        <v>0</v>
      </c>
      <c r="H46" s="1">
        <v>1</v>
      </c>
      <c r="I46" s="1">
        <v>42</v>
      </c>
      <c r="J46" s="1">
        <v>1</v>
      </c>
      <c r="K46" s="1">
        <v>1</v>
      </c>
      <c r="M46" s="1">
        <v>1</v>
      </c>
      <c r="N46" s="1">
        <v>1</v>
      </c>
      <c r="O46" s="1">
        <v>2</v>
      </c>
      <c r="P46" s="1">
        <v>8</v>
      </c>
      <c r="Q46" s="1">
        <v>800</v>
      </c>
      <c r="R46" s="1">
        <v>0</v>
      </c>
      <c r="T46" s="1">
        <v>0</v>
      </c>
      <c r="U46" s="1">
        <v>0</v>
      </c>
      <c r="V46" s="1">
        <v>1</v>
      </c>
      <c r="W46" s="1" t="s">
        <v>240</v>
      </c>
      <c r="X46" s="1">
        <v>7</v>
      </c>
      <c r="Y46" s="1">
        <f t="shared" si="0"/>
        <v>0</v>
      </c>
      <c r="Z46" s="1">
        <f t="shared" si="1"/>
        <v>0</v>
      </c>
      <c r="AA46" s="1">
        <v>13</v>
      </c>
      <c r="AC46" s="1">
        <v>0</v>
      </c>
      <c r="AD46" s="1">
        <v>0</v>
      </c>
      <c r="AE46" s="1">
        <v>1</v>
      </c>
      <c r="AF46" s="1">
        <v>0</v>
      </c>
      <c r="AG46" s="1">
        <v>1</v>
      </c>
      <c r="AH46" s="1">
        <v>0</v>
      </c>
      <c r="AI46" s="1">
        <v>1</v>
      </c>
      <c r="AJ46" s="1">
        <v>0</v>
      </c>
      <c r="AK46" s="1">
        <v>0</v>
      </c>
      <c r="AL46" s="1">
        <v>1</v>
      </c>
      <c r="AM46" s="1">
        <v>0</v>
      </c>
      <c r="AO46" s="1">
        <v>1</v>
      </c>
      <c r="AP46" s="1">
        <v>0</v>
      </c>
      <c r="AQ46" s="1">
        <v>0</v>
      </c>
      <c r="AS46" s="1">
        <v>1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1.5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3</v>
      </c>
      <c r="BG46" s="1" t="s">
        <v>224</v>
      </c>
      <c r="BR46" s="1">
        <v>0</v>
      </c>
      <c r="BS46" s="1">
        <v>0</v>
      </c>
      <c r="BT46" s="1">
        <v>0</v>
      </c>
      <c r="BU46" s="1">
        <v>1</v>
      </c>
      <c r="BV46" s="1">
        <v>1</v>
      </c>
      <c r="BW46" s="1">
        <v>0</v>
      </c>
      <c r="BX46" s="1">
        <v>0</v>
      </c>
      <c r="BZ46" s="1">
        <v>1</v>
      </c>
      <c r="CF46" s="1">
        <f t="shared" si="2"/>
        <v>0</v>
      </c>
      <c r="CH46" s="1">
        <v>1.5</v>
      </c>
      <c r="CO46" s="1">
        <v>1300</v>
      </c>
      <c r="CV46" s="1">
        <v>1.5</v>
      </c>
      <c r="DB46" s="7">
        <f t="shared" si="3"/>
        <v>0.86666666666666659</v>
      </c>
      <c r="DC46" s="5">
        <f t="shared" si="4"/>
        <v>3</v>
      </c>
      <c r="DE46" s="1">
        <v>3500</v>
      </c>
      <c r="DL46" s="1">
        <v>5</v>
      </c>
      <c r="DR46" s="1">
        <f t="shared" si="5"/>
        <v>5</v>
      </c>
      <c r="DT46" s="1">
        <v>1</v>
      </c>
      <c r="DZ46" s="1">
        <f t="shared" si="6"/>
        <v>1</v>
      </c>
      <c r="EF46" s="1">
        <f t="shared" si="7"/>
        <v>0</v>
      </c>
      <c r="EH46" s="1">
        <v>0</v>
      </c>
      <c r="EN46" s="1">
        <f t="shared" si="8"/>
        <v>0</v>
      </c>
      <c r="EP46" s="1">
        <v>0</v>
      </c>
      <c r="EV46" s="1">
        <f t="shared" si="9"/>
        <v>0</v>
      </c>
      <c r="EX46" s="1">
        <v>0</v>
      </c>
      <c r="FE46" s="1">
        <v>1</v>
      </c>
      <c r="FK46" s="1">
        <f t="shared" si="10"/>
        <v>1</v>
      </c>
      <c r="FM46" s="1">
        <v>0</v>
      </c>
      <c r="FS46" s="1">
        <f t="shared" si="11"/>
        <v>0</v>
      </c>
      <c r="FU46" s="1">
        <v>1</v>
      </c>
      <c r="GA46" s="1">
        <f t="shared" si="12"/>
        <v>1</v>
      </c>
      <c r="GC46" s="1" t="s">
        <v>276</v>
      </c>
      <c r="GJ46" s="1">
        <v>0</v>
      </c>
      <c r="GP46" s="1">
        <f t="shared" si="13"/>
        <v>0</v>
      </c>
      <c r="GR46" s="1">
        <v>4500</v>
      </c>
      <c r="GX46" s="1">
        <f t="shared" si="14"/>
        <v>4.5</v>
      </c>
      <c r="GZ46" s="1">
        <v>1</v>
      </c>
      <c r="HF46" s="1">
        <f t="shared" si="15"/>
        <v>1</v>
      </c>
      <c r="HH46" s="1">
        <v>10</v>
      </c>
      <c r="HN46" s="1">
        <f t="shared" si="16"/>
        <v>10</v>
      </c>
      <c r="HP46" s="1">
        <v>0</v>
      </c>
      <c r="HV46" s="1">
        <f t="shared" si="17"/>
        <v>0</v>
      </c>
      <c r="IK46" s="1">
        <v>0</v>
      </c>
      <c r="IL46" s="1">
        <v>60</v>
      </c>
      <c r="IM46" s="1">
        <v>0</v>
      </c>
      <c r="IN46" s="1">
        <v>0</v>
      </c>
      <c r="IO46" s="1">
        <v>0</v>
      </c>
    </row>
    <row r="47" spans="1:249" x14ac:dyDescent="0.25">
      <c r="A47" s="1">
        <v>46</v>
      </c>
      <c r="B47" s="1" t="s">
        <v>237</v>
      </c>
      <c r="C47" s="1" t="s">
        <v>194</v>
      </c>
      <c r="D47" s="1" t="s">
        <v>277</v>
      </c>
      <c r="E47" s="1" t="s">
        <v>277</v>
      </c>
      <c r="F47" s="1">
        <v>0</v>
      </c>
      <c r="G47" s="1">
        <v>0</v>
      </c>
      <c r="H47" s="1">
        <v>1</v>
      </c>
      <c r="I47" s="1">
        <v>49</v>
      </c>
      <c r="J47" s="1">
        <v>0</v>
      </c>
      <c r="K47" s="1">
        <v>0</v>
      </c>
      <c r="L47" s="1">
        <v>1</v>
      </c>
      <c r="M47" s="1">
        <v>0</v>
      </c>
      <c r="N47" s="1">
        <v>0</v>
      </c>
      <c r="O47" s="1">
        <v>2</v>
      </c>
      <c r="P47" s="1">
        <v>20</v>
      </c>
      <c r="Q47" s="1">
        <v>600</v>
      </c>
      <c r="R47" s="1">
        <v>0</v>
      </c>
      <c r="T47" s="1">
        <v>0</v>
      </c>
      <c r="U47" s="1">
        <v>0</v>
      </c>
      <c r="V47" s="1">
        <v>1</v>
      </c>
      <c r="W47" s="1" t="s">
        <v>273</v>
      </c>
      <c r="X47" s="1">
        <v>5</v>
      </c>
      <c r="Y47" s="1">
        <f t="shared" si="0"/>
        <v>0</v>
      </c>
      <c r="Z47" s="1">
        <f t="shared" si="1"/>
        <v>1</v>
      </c>
      <c r="AA47" s="1">
        <v>11</v>
      </c>
      <c r="AC47" s="1">
        <v>0</v>
      </c>
      <c r="AD47" s="1">
        <v>0</v>
      </c>
      <c r="AE47" s="1">
        <v>1</v>
      </c>
      <c r="AF47" s="1">
        <v>1</v>
      </c>
      <c r="AG47" s="1">
        <v>1</v>
      </c>
      <c r="AH47" s="1">
        <v>0</v>
      </c>
      <c r="AI47" s="1">
        <v>1</v>
      </c>
      <c r="AJ47" s="1">
        <v>0</v>
      </c>
      <c r="AK47" s="1">
        <v>1</v>
      </c>
      <c r="AL47" s="1">
        <v>1</v>
      </c>
      <c r="AM47" s="1">
        <v>8</v>
      </c>
      <c r="AO47" s="1">
        <v>1</v>
      </c>
      <c r="AP47" s="1">
        <v>0</v>
      </c>
      <c r="AQ47" s="1">
        <v>0</v>
      </c>
      <c r="AS47" s="1">
        <v>1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2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G47" s="1" t="s">
        <v>224</v>
      </c>
      <c r="BR47" s="1">
        <v>0</v>
      </c>
      <c r="BS47" s="1">
        <v>0</v>
      </c>
      <c r="BT47" s="1">
        <v>0</v>
      </c>
      <c r="BU47" s="1">
        <v>1</v>
      </c>
      <c r="BV47" s="1">
        <v>1</v>
      </c>
      <c r="BW47" s="1">
        <v>1</v>
      </c>
      <c r="BX47" s="1">
        <v>0</v>
      </c>
      <c r="BZ47" s="1">
        <v>1</v>
      </c>
      <c r="CF47" s="1">
        <f t="shared" si="2"/>
        <v>0</v>
      </c>
      <c r="CH47" s="1">
        <v>2</v>
      </c>
      <c r="CO47" s="1">
        <v>2000</v>
      </c>
      <c r="CV47" s="1">
        <v>2</v>
      </c>
      <c r="DB47" s="7">
        <f t="shared" si="3"/>
        <v>1</v>
      </c>
      <c r="DC47" s="5">
        <f t="shared" si="4"/>
        <v>3</v>
      </c>
      <c r="DE47" s="1">
        <v>3200</v>
      </c>
      <c r="DL47" s="1">
        <v>7</v>
      </c>
      <c r="DR47" s="1">
        <f t="shared" si="5"/>
        <v>7</v>
      </c>
      <c r="DT47" s="1">
        <v>1</v>
      </c>
      <c r="DZ47" s="1">
        <f t="shared" si="6"/>
        <v>1</v>
      </c>
      <c r="ED47" s="1">
        <v>1</v>
      </c>
      <c r="EF47" s="1">
        <f t="shared" si="7"/>
        <v>1</v>
      </c>
      <c r="EH47" s="1">
        <v>0</v>
      </c>
      <c r="EN47" s="1">
        <f t="shared" si="8"/>
        <v>0</v>
      </c>
      <c r="EP47" s="1">
        <v>0</v>
      </c>
      <c r="EV47" s="1">
        <f t="shared" si="9"/>
        <v>0</v>
      </c>
      <c r="EX47" s="1">
        <v>0</v>
      </c>
      <c r="FE47" s="1">
        <v>1</v>
      </c>
      <c r="FK47" s="1">
        <f t="shared" si="10"/>
        <v>1</v>
      </c>
      <c r="FM47" s="1">
        <v>0</v>
      </c>
      <c r="FS47" s="1">
        <f t="shared" si="11"/>
        <v>0</v>
      </c>
      <c r="FU47" s="1">
        <v>0</v>
      </c>
      <c r="GA47" s="1">
        <f t="shared" si="12"/>
        <v>0</v>
      </c>
      <c r="GJ47" s="1">
        <v>0</v>
      </c>
      <c r="GP47" s="1">
        <f t="shared" si="13"/>
        <v>0</v>
      </c>
      <c r="GR47" s="1">
        <v>6000</v>
      </c>
      <c r="GX47" s="1">
        <f t="shared" si="14"/>
        <v>6</v>
      </c>
      <c r="GZ47" s="1">
        <v>1</v>
      </c>
      <c r="HF47" s="1">
        <f t="shared" si="15"/>
        <v>1</v>
      </c>
      <c r="HH47" s="1">
        <v>12</v>
      </c>
      <c r="HN47" s="1">
        <f t="shared" si="16"/>
        <v>12</v>
      </c>
      <c r="HP47" s="1">
        <v>0</v>
      </c>
      <c r="HV47" s="1">
        <f t="shared" si="17"/>
        <v>0</v>
      </c>
      <c r="IK47" s="1">
        <v>0</v>
      </c>
      <c r="IL47" s="1">
        <v>0</v>
      </c>
      <c r="IM47" s="1">
        <v>0</v>
      </c>
      <c r="IN47" s="1">
        <v>80</v>
      </c>
      <c r="IO47" s="1">
        <v>0</v>
      </c>
    </row>
    <row r="48" spans="1:249" x14ac:dyDescent="0.25">
      <c r="A48" s="1">
        <v>47</v>
      </c>
      <c r="B48" s="1" t="s">
        <v>237</v>
      </c>
      <c r="C48" s="1" t="s">
        <v>194</v>
      </c>
      <c r="D48" s="1" t="s">
        <v>277</v>
      </c>
      <c r="E48" s="1" t="s">
        <v>277</v>
      </c>
      <c r="F48" s="1">
        <v>0</v>
      </c>
      <c r="G48" s="1">
        <v>0</v>
      </c>
      <c r="H48" s="1">
        <v>1</v>
      </c>
      <c r="I48" s="1">
        <v>48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>
        <v>4</v>
      </c>
      <c r="P48" s="1">
        <v>20</v>
      </c>
      <c r="Q48" s="1">
        <v>700</v>
      </c>
      <c r="R48" s="1">
        <v>0</v>
      </c>
      <c r="T48" s="1">
        <v>0</v>
      </c>
      <c r="U48" s="1">
        <v>0</v>
      </c>
      <c r="V48" s="1">
        <v>1</v>
      </c>
      <c r="W48" s="1" t="s">
        <v>273</v>
      </c>
      <c r="X48" s="1">
        <v>3</v>
      </c>
      <c r="Y48" s="1">
        <f t="shared" si="0"/>
        <v>1</v>
      </c>
      <c r="Z48" s="1">
        <f t="shared" si="1"/>
        <v>0</v>
      </c>
      <c r="AA48" s="1">
        <v>7</v>
      </c>
      <c r="AC48" s="1">
        <v>0</v>
      </c>
      <c r="AD48" s="1">
        <v>0</v>
      </c>
      <c r="AE48" s="1">
        <v>1</v>
      </c>
      <c r="AF48" s="1">
        <v>1</v>
      </c>
      <c r="AG48" s="1">
        <v>1</v>
      </c>
      <c r="AH48" s="1">
        <v>0</v>
      </c>
      <c r="AI48" s="1">
        <v>1</v>
      </c>
      <c r="AJ48" s="1">
        <v>0</v>
      </c>
      <c r="AK48" s="1">
        <v>1</v>
      </c>
      <c r="AL48" s="1">
        <v>1</v>
      </c>
      <c r="AM48" s="1">
        <v>8</v>
      </c>
      <c r="AO48" s="1">
        <v>1</v>
      </c>
      <c r="AP48" s="1">
        <v>0</v>
      </c>
      <c r="AQ48" s="1">
        <v>0</v>
      </c>
      <c r="AS48" s="1">
        <v>1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3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10</v>
      </c>
      <c r="BG48" s="1" t="s">
        <v>224</v>
      </c>
      <c r="BR48" s="1">
        <v>0</v>
      </c>
      <c r="BS48" s="1">
        <v>0</v>
      </c>
      <c r="BT48" s="1">
        <v>0</v>
      </c>
      <c r="BU48" s="1">
        <v>1</v>
      </c>
      <c r="BV48" s="1">
        <v>1</v>
      </c>
      <c r="BW48" s="1">
        <v>1</v>
      </c>
      <c r="BX48" s="1">
        <v>0</v>
      </c>
      <c r="BZ48" s="1">
        <v>1</v>
      </c>
      <c r="CF48" s="1">
        <f t="shared" si="2"/>
        <v>0</v>
      </c>
      <c r="CH48" s="1">
        <v>2</v>
      </c>
      <c r="CO48" s="1">
        <v>1200</v>
      </c>
      <c r="CV48" s="1">
        <v>2</v>
      </c>
      <c r="DB48" s="7">
        <f t="shared" si="3"/>
        <v>0.6</v>
      </c>
      <c r="DC48" s="5">
        <f t="shared" si="4"/>
        <v>1</v>
      </c>
      <c r="DE48" s="1">
        <v>3300</v>
      </c>
      <c r="DL48" s="1">
        <v>6</v>
      </c>
      <c r="DR48" s="1">
        <f t="shared" si="5"/>
        <v>6</v>
      </c>
      <c r="DT48" s="1">
        <v>1</v>
      </c>
      <c r="DZ48" s="1">
        <f t="shared" si="6"/>
        <v>1</v>
      </c>
      <c r="ED48" s="1">
        <v>1</v>
      </c>
      <c r="EF48" s="1">
        <f t="shared" si="7"/>
        <v>1</v>
      </c>
      <c r="EH48" s="1">
        <v>0</v>
      </c>
      <c r="EN48" s="1">
        <f t="shared" si="8"/>
        <v>0</v>
      </c>
      <c r="EP48" s="1">
        <v>0</v>
      </c>
      <c r="EV48" s="1">
        <f t="shared" si="9"/>
        <v>0</v>
      </c>
      <c r="EX48" s="1">
        <v>0</v>
      </c>
      <c r="FE48" s="1">
        <v>1</v>
      </c>
      <c r="FK48" s="1">
        <f t="shared" si="10"/>
        <v>1</v>
      </c>
      <c r="FM48" s="1">
        <v>0</v>
      </c>
      <c r="FS48" s="1">
        <f t="shared" si="11"/>
        <v>0</v>
      </c>
      <c r="FU48" s="1">
        <v>0</v>
      </c>
      <c r="GA48" s="1">
        <f t="shared" si="12"/>
        <v>0</v>
      </c>
      <c r="GJ48" s="1">
        <v>0</v>
      </c>
      <c r="GP48" s="1">
        <f t="shared" si="13"/>
        <v>0</v>
      </c>
      <c r="GR48" s="1">
        <v>5000</v>
      </c>
      <c r="GX48" s="1">
        <f t="shared" si="14"/>
        <v>5</v>
      </c>
      <c r="GZ48" s="1">
        <v>1</v>
      </c>
      <c r="HF48" s="1">
        <f t="shared" si="15"/>
        <v>1</v>
      </c>
      <c r="HH48" s="1">
        <v>12</v>
      </c>
      <c r="HN48" s="1">
        <f t="shared" si="16"/>
        <v>12</v>
      </c>
      <c r="HP48" s="1">
        <v>0</v>
      </c>
      <c r="HV48" s="1">
        <f t="shared" si="17"/>
        <v>0</v>
      </c>
      <c r="IK48" s="1">
        <v>0</v>
      </c>
      <c r="IL48" s="1">
        <v>80</v>
      </c>
      <c r="IM48" s="1">
        <v>16</v>
      </c>
      <c r="IN48" s="1">
        <v>80</v>
      </c>
      <c r="IO48" s="1">
        <v>0</v>
      </c>
    </row>
    <row r="49" spans="1:249" x14ac:dyDescent="0.25">
      <c r="A49" s="1">
        <v>48</v>
      </c>
      <c r="B49" s="1" t="s">
        <v>237</v>
      </c>
      <c r="C49" s="1" t="s">
        <v>194</v>
      </c>
      <c r="D49" s="1" t="s">
        <v>277</v>
      </c>
      <c r="E49" s="1" t="s">
        <v>277</v>
      </c>
      <c r="F49" s="1">
        <v>0</v>
      </c>
      <c r="G49" s="1">
        <v>0</v>
      </c>
      <c r="H49" s="1">
        <v>1</v>
      </c>
      <c r="I49" s="1">
        <v>52</v>
      </c>
      <c r="J49" s="1">
        <v>1</v>
      </c>
      <c r="K49" s="1">
        <v>1</v>
      </c>
      <c r="M49" s="1">
        <v>0</v>
      </c>
      <c r="N49" s="1">
        <v>0</v>
      </c>
      <c r="O49" s="1">
        <v>1</v>
      </c>
      <c r="P49" s="1">
        <v>12</v>
      </c>
      <c r="Q49" s="1">
        <v>500</v>
      </c>
      <c r="R49" s="1">
        <v>0</v>
      </c>
      <c r="T49" s="1">
        <v>0</v>
      </c>
      <c r="U49" s="1">
        <v>0</v>
      </c>
      <c r="V49" s="1">
        <v>1</v>
      </c>
      <c r="W49" s="1" t="s">
        <v>273</v>
      </c>
      <c r="X49" s="1">
        <v>4</v>
      </c>
      <c r="Y49" s="1">
        <f t="shared" si="0"/>
        <v>0</v>
      </c>
      <c r="Z49" s="1">
        <f t="shared" si="1"/>
        <v>1</v>
      </c>
      <c r="AA49" s="1">
        <v>8</v>
      </c>
      <c r="AC49" s="1">
        <v>0</v>
      </c>
      <c r="AD49" s="1">
        <v>0</v>
      </c>
      <c r="AE49" s="1">
        <v>1</v>
      </c>
      <c r="AF49" s="1">
        <v>1</v>
      </c>
      <c r="AG49" s="1">
        <v>1</v>
      </c>
      <c r="AH49" s="1">
        <v>0</v>
      </c>
      <c r="AI49" s="1">
        <v>1</v>
      </c>
      <c r="AJ49" s="1">
        <v>0</v>
      </c>
      <c r="AK49" s="1">
        <v>0</v>
      </c>
      <c r="AL49" s="1">
        <v>1</v>
      </c>
      <c r="AM49" s="1">
        <v>0</v>
      </c>
      <c r="AO49" s="1">
        <v>1</v>
      </c>
      <c r="AP49" s="1">
        <v>0</v>
      </c>
      <c r="AQ49" s="1">
        <v>0</v>
      </c>
      <c r="AS49" s="1">
        <v>1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1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2</v>
      </c>
      <c r="BG49" s="1" t="s">
        <v>224</v>
      </c>
      <c r="BR49" s="1">
        <v>0</v>
      </c>
      <c r="BS49" s="1">
        <v>0</v>
      </c>
      <c r="BT49" s="1">
        <v>0</v>
      </c>
      <c r="BU49" s="1">
        <v>1</v>
      </c>
      <c r="BV49" s="1">
        <v>0</v>
      </c>
      <c r="BW49" s="1">
        <v>1</v>
      </c>
      <c r="BX49" s="1">
        <v>0</v>
      </c>
      <c r="BZ49" s="1">
        <v>1</v>
      </c>
      <c r="CF49" s="1">
        <f t="shared" si="2"/>
        <v>0</v>
      </c>
      <c r="CH49" s="1">
        <v>1</v>
      </c>
      <c r="CO49" s="1">
        <v>600</v>
      </c>
      <c r="CV49" s="1">
        <v>1</v>
      </c>
      <c r="DB49" s="7">
        <f t="shared" si="3"/>
        <v>0.6</v>
      </c>
      <c r="DC49" s="5">
        <f t="shared" si="4"/>
        <v>1</v>
      </c>
      <c r="DE49" s="1">
        <v>3500</v>
      </c>
      <c r="DL49" s="1">
        <v>7</v>
      </c>
      <c r="DR49" s="1">
        <f t="shared" si="5"/>
        <v>7</v>
      </c>
      <c r="DT49" s="1">
        <v>1</v>
      </c>
      <c r="DZ49" s="1">
        <f t="shared" si="6"/>
        <v>1</v>
      </c>
      <c r="ED49" s="1">
        <v>1</v>
      </c>
      <c r="EF49" s="1">
        <f t="shared" si="7"/>
        <v>1</v>
      </c>
      <c r="EH49" s="1">
        <v>0</v>
      </c>
      <c r="EN49" s="1">
        <f t="shared" si="8"/>
        <v>0</v>
      </c>
      <c r="EP49" s="1">
        <v>0</v>
      </c>
      <c r="EV49" s="1">
        <f t="shared" si="9"/>
        <v>0</v>
      </c>
      <c r="EX49" s="1">
        <v>0</v>
      </c>
      <c r="FE49" s="1">
        <v>1</v>
      </c>
      <c r="FK49" s="1">
        <f t="shared" si="10"/>
        <v>1</v>
      </c>
      <c r="FM49" s="1">
        <v>0</v>
      </c>
      <c r="FS49" s="1">
        <f t="shared" si="11"/>
        <v>0</v>
      </c>
      <c r="FU49" s="1">
        <v>0</v>
      </c>
      <c r="GA49" s="1">
        <f t="shared" si="12"/>
        <v>0</v>
      </c>
      <c r="GJ49" s="1">
        <v>0</v>
      </c>
      <c r="GP49" s="1">
        <f t="shared" si="13"/>
        <v>0</v>
      </c>
      <c r="GR49" s="1">
        <v>4000</v>
      </c>
      <c r="GX49" s="1">
        <f t="shared" si="14"/>
        <v>4</v>
      </c>
      <c r="GZ49" s="1">
        <v>1</v>
      </c>
      <c r="HF49" s="1">
        <f t="shared" si="15"/>
        <v>1</v>
      </c>
      <c r="HH49" s="1">
        <v>10</v>
      </c>
      <c r="HN49" s="1">
        <f t="shared" si="16"/>
        <v>10</v>
      </c>
      <c r="HP49" s="1">
        <v>0</v>
      </c>
      <c r="HV49" s="1">
        <f t="shared" si="17"/>
        <v>0</v>
      </c>
      <c r="IK49" s="1">
        <v>0</v>
      </c>
      <c r="IL49" s="1">
        <v>0</v>
      </c>
      <c r="IM49" s="1">
        <v>0</v>
      </c>
      <c r="IN49" s="1">
        <v>40</v>
      </c>
      <c r="IO49" s="1">
        <v>0</v>
      </c>
    </row>
    <row r="50" spans="1:249" x14ac:dyDescent="0.25">
      <c r="A50" s="1">
        <v>49</v>
      </c>
      <c r="B50" s="1" t="s">
        <v>237</v>
      </c>
      <c r="C50" s="1" t="s">
        <v>194</v>
      </c>
      <c r="D50" s="1" t="s">
        <v>277</v>
      </c>
      <c r="E50" s="1" t="s">
        <v>277</v>
      </c>
      <c r="F50" s="1">
        <v>0</v>
      </c>
      <c r="G50" s="1">
        <v>0</v>
      </c>
      <c r="H50" s="1">
        <v>1</v>
      </c>
      <c r="I50" s="1">
        <v>44</v>
      </c>
      <c r="J50" s="1">
        <v>1</v>
      </c>
      <c r="K50" s="1">
        <v>1</v>
      </c>
      <c r="M50" s="1">
        <v>0</v>
      </c>
      <c r="N50" s="1">
        <v>0</v>
      </c>
      <c r="O50" s="1">
        <v>3</v>
      </c>
      <c r="P50" s="1">
        <v>15</v>
      </c>
      <c r="Q50" s="1">
        <v>900</v>
      </c>
      <c r="R50" s="1">
        <v>0</v>
      </c>
      <c r="T50" s="1">
        <v>0</v>
      </c>
      <c r="U50" s="1">
        <v>0</v>
      </c>
      <c r="V50" s="1">
        <v>1</v>
      </c>
      <c r="W50" s="1" t="s">
        <v>273</v>
      </c>
      <c r="X50" s="1">
        <v>5</v>
      </c>
      <c r="Y50" s="1">
        <f t="shared" si="0"/>
        <v>0</v>
      </c>
      <c r="Z50" s="1">
        <f t="shared" si="1"/>
        <v>1</v>
      </c>
      <c r="AA50" s="1">
        <v>11</v>
      </c>
      <c r="AC50" s="1">
        <v>0</v>
      </c>
      <c r="AD50" s="1">
        <v>0</v>
      </c>
      <c r="AE50" s="1">
        <v>1</v>
      </c>
      <c r="AF50" s="1">
        <v>1</v>
      </c>
      <c r="AG50" s="1">
        <v>1</v>
      </c>
      <c r="AH50" s="1">
        <v>0</v>
      </c>
      <c r="AI50" s="1">
        <v>1</v>
      </c>
      <c r="AJ50" s="1">
        <v>0</v>
      </c>
      <c r="AK50" s="1">
        <v>0</v>
      </c>
      <c r="AL50" s="1">
        <v>1</v>
      </c>
      <c r="AM50" s="1">
        <v>6</v>
      </c>
      <c r="AO50" s="1">
        <v>1</v>
      </c>
      <c r="AP50" s="1">
        <v>0</v>
      </c>
      <c r="AQ50" s="1">
        <v>0</v>
      </c>
      <c r="AS50" s="1">
        <v>1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1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2</v>
      </c>
      <c r="BG50" s="1" t="s">
        <v>224</v>
      </c>
      <c r="BR50" s="1">
        <v>0</v>
      </c>
      <c r="BS50" s="1">
        <v>0</v>
      </c>
      <c r="BT50" s="1">
        <v>0</v>
      </c>
      <c r="BU50" s="1">
        <v>1</v>
      </c>
      <c r="BV50" s="1">
        <v>1</v>
      </c>
      <c r="BW50" s="1">
        <v>1</v>
      </c>
      <c r="BX50" s="1">
        <v>0</v>
      </c>
      <c r="BZ50" s="1">
        <v>1</v>
      </c>
      <c r="CF50" s="1">
        <f t="shared" si="2"/>
        <v>0</v>
      </c>
      <c r="CH50" s="1">
        <v>1</v>
      </c>
      <c r="CO50" s="1">
        <v>100</v>
      </c>
      <c r="CV50" s="1">
        <v>1</v>
      </c>
      <c r="DB50" s="7">
        <f t="shared" si="3"/>
        <v>0.1</v>
      </c>
      <c r="DC50" s="5">
        <f t="shared" si="4"/>
        <v>1</v>
      </c>
      <c r="DE50" s="1">
        <v>2500</v>
      </c>
      <c r="DL50" s="1">
        <v>7</v>
      </c>
      <c r="DR50" s="1">
        <f t="shared" si="5"/>
        <v>7</v>
      </c>
      <c r="DT50" s="1">
        <v>1</v>
      </c>
      <c r="DZ50" s="1">
        <f t="shared" si="6"/>
        <v>1</v>
      </c>
      <c r="ED50" s="1">
        <v>1</v>
      </c>
      <c r="EF50" s="1">
        <f t="shared" si="7"/>
        <v>1</v>
      </c>
      <c r="EH50" s="1">
        <v>0</v>
      </c>
      <c r="EN50" s="1">
        <f t="shared" si="8"/>
        <v>0</v>
      </c>
      <c r="EP50" s="1">
        <v>0</v>
      </c>
      <c r="EV50" s="1">
        <f t="shared" si="9"/>
        <v>0</v>
      </c>
      <c r="EX50" s="1">
        <v>0</v>
      </c>
      <c r="FE50" s="1">
        <v>1</v>
      </c>
      <c r="FK50" s="1">
        <f t="shared" si="10"/>
        <v>1</v>
      </c>
      <c r="FM50" s="1">
        <v>0</v>
      </c>
      <c r="FS50" s="1">
        <f t="shared" si="11"/>
        <v>0</v>
      </c>
      <c r="FU50" s="1">
        <v>0</v>
      </c>
      <c r="GA50" s="1">
        <f t="shared" si="12"/>
        <v>0</v>
      </c>
      <c r="GJ50" s="1">
        <v>0</v>
      </c>
      <c r="GP50" s="1">
        <f t="shared" si="13"/>
        <v>0</v>
      </c>
      <c r="GR50" s="1">
        <v>4000</v>
      </c>
      <c r="GX50" s="1">
        <f t="shared" si="14"/>
        <v>4</v>
      </c>
      <c r="GZ50" s="1">
        <v>1</v>
      </c>
      <c r="HF50" s="1">
        <f t="shared" si="15"/>
        <v>1</v>
      </c>
      <c r="HH50" s="1">
        <v>12</v>
      </c>
      <c r="HN50" s="1">
        <f t="shared" si="16"/>
        <v>12</v>
      </c>
      <c r="HP50" s="1">
        <v>0</v>
      </c>
      <c r="HV50" s="1">
        <f t="shared" si="17"/>
        <v>0</v>
      </c>
      <c r="IK50" s="1">
        <v>0</v>
      </c>
      <c r="IL50" s="1">
        <v>0</v>
      </c>
      <c r="IM50" s="1">
        <v>0</v>
      </c>
      <c r="IN50" s="1">
        <v>40</v>
      </c>
      <c r="IO50" s="1">
        <v>0</v>
      </c>
    </row>
    <row r="51" spans="1:249" x14ac:dyDescent="0.25">
      <c r="A51" s="1">
        <v>50</v>
      </c>
      <c r="B51" s="1" t="s">
        <v>237</v>
      </c>
      <c r="C51" s="1" t="s">
        <v>194</v>
      </c>
      <c r="D51" s="1" t="s">
        <v>277</v>
      </c>
      <c r="E51" s="1" t="s">
        <v>277</v>
      </c>
      <c r="F51" s="1">
        <v>0</v>
      </c>
      <c r="G51" s="1">
        <v>0</v>
      </c>
      <c r="H51" s="1">
        <v>1</v>
      </c>
      <c r="I51" s="1">
        <v>56</v>
      </c>
      <c r="J51" s="1">
        <v>1</v>
      </c>
      <c r="K51" s="1">
        <v>1</v>
      </c>
      <c r="M51" s="1">
        <v>0</v>
      </c>
      <c r="N51" s="1">
        <v>1</v>
      </c>
      <c r="O51" s="1">
        <v>2</v>
      </c>
      <c r="P51" s="1">
        <v>27</v>
      </c>
      <c r="Q51" s="1">
        <v>700</v>
      </c>
      <c r="R51" s="1">
        <v>0</v>
      </c>
      <c r="T51" s="1">
        <v>0</v>
      </c>
      <c r="U51" s="1">
        <v>0</v>
      </c>
      <c r="V51" s="1">
        <v>1</v>
      </c>
      <c r="W51" s="1" t="s">
        <v>273</v>
      </c>
      <c r="X51" s="1">
        <v>5</v>
      </c>
      <c r="Y51" s="1">
        <f t="shared" si="0"/>
        <v>0</v>
      </c>
      <c r="Z51" s="1">
        <f t="shared" si="1"/>
        <v>1</v>
      </c>
      <c r="AA51" s="1">
        <v>11</v>
      </c>
      <c r="AC51" s="1">
        <v>0</v>
      </c>
      <c r="AD51" s="1">
        <v>0</v>
      </c>
      <c r="AE51" s="1">
        <v>1</v>
      </c>
      <c r="AF51" s="1">
        <v>1</v>
      </c>
      <c r="AG51" s="1">
        <v>1</v>
      </c>
      <c r="AH51" s="1">
        <v>0</v>
      </c>
      <c r="AI51" s="1">
        <v>1</v>
      </c>
      <c r="AJ51" s="1">
        <v>0</v>
      </c>
      <c r="AK51" s="1">
        <v>1</v>
      </c>
      <c r="AL51" s="1">
        <v>1</v>
      </c>
      <c r="AM51" s="1">
        <v>8</v>
      </c>
      <c r="AO51" s="1">
        <v>1</v>
      </c>
      <c r="AP51" s="1">
        <v>0</v>
      </c>
      <c r="AQ51" s="1">
        <v>0</v>
      </c>
      <c r="AS51" s="1">
        <v>1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2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</v>
      </c>
      <c r="BG51" s="1" t="s">
        <v>224</v>
      </c>
      <c r="BR51" s="1">
        <v>0</v>
      </c>
      <c r="BS51" s="1">
        <v>0</v>
      </c>
      <c r="BT51" s="1">
        <v>0</v>
      </c>
      <c r="BU51" s="1">
        <v>1</v>
      </c>
      <c r="BV51" s="1">
        <v>1</v>
      </c>
      <c r="BW51" s="1">
        <v>1</v>
      </c>
      <c r="BX51" s="1">
        <v>0</v>
      </c>
      <c r="BZ51" s="1">
        <v>1</v>
      </c>
      <c r="CF51" s="1">
        <f t="shared" si="2"/>
        <v>0</v>
      </c>
      <c r="CH51" s="1">
        <v>2</v>
      </c>
      <c r="CO51" s="1">
        <v>1800</v>
      </c>
      <c r="CV51" s="1">
        <v>2</v>
      </c>
      <c r="DB51" s="7">
        <f t="shared" si="3"/>
        <v>0.9</v>
      </c>
      <c r="DC51" s="5">
        <f t="shared" si="4"/>
        <v>3</v>
      </c>
      <c r="DE51" s="1">
        <v>3000</v>
      </c>
      <c r="DL51" s="1">
        <v>7</v>
      </c>
      <c r="DR51" s="1">
        <f t="shared" si="5"/>
        <v>7</v>
      </c>
      <c r="DT51" s="1">
        <v>1</v>
      </c>
      <c r="DZ51" s="1">
        <f t="shared" si="6"/>
        <v>1</v>
      </c>
      <c r="ED51" s="1">
        <v>1</v>
      </c>
      <c r="EF51" s="1">
        <f t="shared" si="7"/>
        <v>1</v>
      </c>
      <c r="EH51" s="1">
        <v>0</v>
      </c>
      <c r="EN51" s="1">
        <f t="shared" si="8"/>
        <v>0</v>
      </c>
      <c r="EP51" s="1">
        <v>0</v>
      </c>
      <c r="EV51" s="1">
        <f t="shared" si="9"/>
        <v>0</v>
      </c>
      <c r="EX51" s="1">
        <v>0</v>
      </c>
      <c r="FE51" s="1">
        <v>1</v>
      </c>
      <c r="FK51" s="1">
        <f t="shared" si="10"/>
        <v>1</v>
      </c>
      <c r="FM51" s="1">
        <v>0</v>
      </c>
      <c r="FS51" s="1">
        <f t="shared" si="11"/>
        <v>0</v>
      </c>
      <c r="FU51" s="1">
        <v>0</v>
      </c>
      <c r="GA51" s="1">
        <f t="shared" si="12"/>
        <v>0</v>
      </c>
      <c r="GJ51" s="1">
        <v>0</v>
      </c>
      <c r="GP51" s="1">
        <f t="shared" si="13"/>
        <v>0</v>
      </c>
      <c r="GR51" s="1">
        <v>6000</v>
      </c>
      <c r="GX51" s="1">
        <f t="shared" si="14"/>
        <v>6</v>
      </c>
      <c r="GZ51" s="1">
        <v>1</v>
      </c>
      <c r="HF51" s="1">
        <f t="shared" si="15"/>
        <v>1</v>
      </c>
      <c r="HH51" s="1">
        <v>13</v>
      </c>
      <c r="HN51" s="1">
        <f t="shared" si="16"/>
        <v>13</v>
      </c>
      <c r="HP51" s="1">
        <v>0</v>
      </c>
      <c r="HV51" s="1">
        <f t="shared" si="17"/>
        <v>0</v>
      </c>
      <c r="IK51" s="1">
        <v>0</v>
      </c>
      <c r="IL51" s="1">
        <v>0</v>
      </c>
      <c r="IM51" s="1">
        <v>0</v>
      </c>
      <c r="IN51" s="1">
        <v>80</v>
      </c>
      <c r="IO51" s="1">
        <v>0</v>
      </c>
    </row>
    <row r="52" spans="1:249" x14ac:dyDescent="0.25">
      <c r="A52" s="1">
        <v>51</v>
      </c>
      <c r="B52" s="1" t="s">
        <v>237</v>
      </c>
      <c r="C52" s="1" t="s">
        <v>194</v>
      </c>
      <c r="D52" s="1" t="s">
        <v>277</v>
      </c>
      <c r="E52" s="1" t="s">
        <v>277</v>
      </c>
      <c r="F52" s="1">
        <v>0</v>
      </c>
      <c r="G52" s="1">
        <v>0</v>
      </c>
      <c r="H52" s="1">
        <v>1</v>
      </c>
      <c r="I52" s="1">
        <v>22</v>
      </c>
      <c r="J52" s="1">
        <v>1</v>
      </c>
      <c r="K52" s="1">
        <v>1</v>
      </c>
      <c r="M52" s="1">
        <v>0</v>
      </c>
      <c r="N52" s="1">
        <v>0</v>
      </c>
      <c r="O52" s="1">
        <v>0</v>
      </c>
      <c r="P52" s="1">
        <v>16</v>
      </c>
      <c r="Q52" s="1">
        <v>600</v>
      </c>
      <c r="R52" s="1">
        <v>0</v>
      </c>
      <c r="T52" s="1">
        <v>0</v>
      </c>
      <c r="U52" s="1">
        <v>0</v>
      </c>
      <c r="V52" s="1">
        <v>1</v>
      </c>
      <c r="W52" s="1" t="s">
        <v>273</v>
      </c>
      <c r="X52" s="1">
        <v>5</v>
      </c>
      <c r="Y52" s="1">
        <f t="shared" si="0"/>
        <v>0</v>
      </c>
      <c r="Z52" s="1">
        <f t="shared" si="1"/>
        <v>1</v>
      </c>
      <c r="AA52" s="1">
        <v>11</v>
      </c>
      <c r="AC52" s="1">
        <v>0</v>
      </c>
      <c r="AD52" s="1">
        <v>0</v>
      </c>
      <c r="AE52" s="1">
        <v>1</v>
      </c>
      <c r="AF52" s="1">
        <v>1</v>
      </c>
      <c r="AG52" s="1">
        <v>1</v>
      </c>
      <c r="AH52" s="1">
        <v>0</v>
      </c>
      <c r="AI52" s="1">
        <v>1</v>
      </c>
      <c r="AJ52" s="1">
        <v>0</v>
      </c>
      <c r="AK52" s="1">
        <v>0</v>
      </c>
      <c r="AL52" s="1">
        <v>1</v>
      </c>
      <c r="AM52" s="1">
        <v>5</v>
      </c>
      <c r="AO52" s="1">
        <v>1</v>
      </c>
      <c r="AP52" s="1">
        <v>0</v>
      </c>
      <c r="AQ52" s="1">
        <v>0</v>
      </c>
      <c r="AS52" s="1">
        <v>1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2</v>
      </c>
      <c r="BG52" s="1" t="s">
        <v>224</v>
      </c>
      <c r="BR52" s="1">
        <v>0</v>
      </c>
      <c r="BS52" s="1">
        <v>0</v>
      </c>
      <c r="BT52" s="1">
        <v>0</v>
      </c>
      <c r="BU52" s="1">
        <v>1</v>
      </c>
      <c r="BV52" s="1">
        <v>1</v>
      </c>
      <c r="BW52" s="1">
        <v>1</v>
      </c>
      <c r="BX52" s="1">
        <v>0</v>
      </c>
      <c r="BZ52" s="1">
        <v>1</v>
      </c>
      <c r="CF52" s="1">
        <f t="shared" si="2"/>
        <v>0</v>
      </c>
      <c r="CH52" s="1">
        <v>1</v>
      </c>
      <c r="CO52" s="1">
        <v>1000</v>
      </c>
      <c r="CV52" s="1">
        <v>1</v>
      </c>
      <c r="DB52" s="7">
        <f t="shared" si="3"/>
        <v>1</v>
      </c>
      <c r="DC52" s="5">
        <f t="shared" si="4"/>
        <v>3</v>
      </c>
      <c r="DE52" s="1">
        <v>3000</v>
      </c>
      <c r="DL52" s="1">
        <v>6</v>
      </c>
      <c r="DR52" s="1">
        <f t="shared" si="5"/>
        <v>6</v>
      </c>
      <c r="DT52" s="1">
        <v>1</v>
      </c>
      <c r="DZ52" s="1">
        <f t="shared" si="6"/>
        <v>1</v>
      </c>
      <c r="EF52" s="1">
        <f t="shared" si="7"/>
        <v>0</v>
      </c>
      <c r="EH52" s="1">
        <v>0</v>
      </c>
      <c r="EN52" s="1">
        <f t="shared" si="8"/>
        <v>0</v>
      </c>
      <c r="EP52" s="1">
        <v>0</v>
      </c>
      <c r="EV52" s="1">
        <f t="shared" si="9"/>
        <v>0</v>
      </c>
      <c r="EX52" s="1">
        <v>0</v>
      </c>
      <c r="FE52" s="1">
        <v>1</v>
      </c>
      <c r="FK52" s="1">
        <f t="shared" si="10"/>
        <v>1</v>
      </c>
      <c r="FM52" s="1">
        <v>0</v>
      </c>
      <c r="FS52" s="1">
        <f t="shared" si="11"/>
        <v>0</v>
      </c>
      <c r="FU52" s="1">
        <v>0</v>
      </c>
      <c r="GA52" s="1">
        <f t="shared" si="12"/>
        <v>0</v>
      </c>
      <c r="GJ52" s="1">
        <v>0</v>
      </c>
      <c r="GP52" s="1">
        <f t="shared" si="13"/>
        <v>0</v>
      </c>
      <c r="GR52" s="1">
        <v>3500</v>
      </c>
      <c r="GX52" s="1">
        <f t="shared" si="14"/>
        <v>3.5</v>
      </c>
      <c r="GZ52" s="1">
        <v>1</v>
      </c>
      <c r="HF52" s="1">
        <f t="shared" si="15"/>
        <v>1</v>
      </c>
      <c r="HH52" s="1">
        <v>12</v>
      </c>
      <c r="HN52" s="1">
        <f t="shared" si="16"/>
        <v>12</v>
      </c>
      <c r="HP52" s="1">
        <v>0</v>
      </c>
      <c r="HV52" s="1">
        <f t="shared" si="17"/>
        <v>0</v>
      </c>
      <c r="IK52" s="1">
        <v>0</v>
      </c>
      <c r="IL52" s="1">
        <v>40</v>
      </c>
      <c r="IM52" s="1">
        <v>8</v>
      </c>
      <c r="IN52" s="1">
        <v>40</v>
      </c>
      <c r="IO52" s="1">
        <v>0</v>
      </c>
    </row>
    <row r="53" spans="1:249" x14ac:dyDescent="0.25">
      <c r="A53" s="1">
        <v>52</v>
      </c>
      <c r="B53" s="1" t="s">
        <v>237</v>
      </c>
      <c r="C53" s="1" t="s">
        <v>194</v>
      </c>
      <c r="D53" s="1" t="s">
        <v>277</v>
      </c>
      <c r="E53" s="1" t="s">
        <v>277</v>
      </c>
      <c r="F53" s="1">
        <v>0</v>
      </c>
      <c r="G53" s="1">
        <v>0</v>
      </c>
      <c r="H53" s="1">
        <v>1</v>
      </c>
      <c r="I53" s="1">
        <v>51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2</v>
      </c>
      <c r="P53" s="1">
        <v>30</v>
      </c>
      <c r="Q53" s="1">
        <v>600</v>
      </c>
      <c r="R53" s="1">
        <v>0</v>
      </c>
      <c r="T53" s="1">
        <v>0</v>
      </c>
      <c r="U53" s="1">
        <v>0</v>
      </c>
      <c r="V53" s="1">
        <v>1</v>
      </c>
      <c r="W53" s="1" t="s">
        <v>273</v>
      </c>
      <c r="X53" s="1">
        <v>5</v>
      </c>
      <c r="Y53" s="1">
        <f t="shared" si="0"/>
        <v>0</v>
      </c>
      <c r="Z53" s="1">
        <f t="shared" si="1"/>
        <v>1</v>
      </c>
      <c r="AA53" s="1">
        <v>11</v>
      </c>
      <c r="AC53" s="1">
        <v>0</v>
      </c>
      <c r="AD53" s="1">
        <v>0</v>
      </c>
      <c r="AE53" s="1">
        <v>1</v>
      </c>
      <c r="AF53" s="1">
        <v>1</v>
      </c>
      <c r="AG53" s="1">
        <v>1</v>
      </c>
      <c r="AH53" s="1">
        <v>0</v>
      </c>
      <c r="AI53" s="1">
        <v>1</v>
      </c>
      <c r="AJ53" s="1">
        <v>0</v>
      </c>
      <c r="AK53" s="1">
        <v>1</v>
      </c>
      <c r="AL53" s="1">
        <v>1</v>
      </c>
      <c r="AM53" s="1">
        <v>6</v>
      </c>
      <c r="AO53" s="1">
        <v>1</v>
      </c>
      <c r="AP53" s="1">
        <v>0</v>
      </c>
      <c r="AQ53" s="1">
        <v>0</v>
      </c>
      <c r="AS53" s="1">
        <v>1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2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3</v>
      </c>
      <c r="BG53" s="1" t="s">
        <v>224</v>
      </c>
      <c r="BR53" s="1">
        <v>0</v>
      </c>
      <c r="BS53" s="1">
        <v>0</v>
      </c>
      <c r="BT53" s="1">
        <v>0</v>
      </c>
      <c r="BU53" s="1">
        <v>1</v>
      </c>
      <c r="BV53" s="1">
        <v>1</v>
      </c>
      <c r="BW53" s="1">
        <v>1</v>
      </c>
      <c r="BX53" s="1">
        <v>0</v>
      </c>
      <c r="BZ53" s="1">
        <v>1</v>
      </c>
      <c r="CF53" s="1">
        <f t="shared" si="2"/>
        <v>0</v>
      </c>
      <c r="CH53" s="1">
        <v>2</v>
      </c>
      <c r="CO53" s="1">
        <v>1400</v>
      </c>
      <c r="CV53" s="1">
        <v>2</v>
      </c>
      <c r="DB53" s="7">
        <f t="shared" si="3"/>
        <v>0.7</v>
      </c>
      <c r="DC53" s="5">
        <f t="shared" si="4"/>
        <v>2</v>
      </c>
      <c r="DE53" s="1">
        <v>3000</v>
      </c>
      <c r="DL53" s="1">
        <v>7</v>
      </c>
      <c r="DR53" s="1">
        <f t="shared" si="5"/>
        <v>7</v>
      </c>
      <c r="DT53" s="1">
        <v>1</v>
      </c>
      <c r="DZ53" s="1">
        <f t="shared" si="6"/>
        <v>1</v>
      </c>
      <c r="ED53" s="1">
        <v>1</v>
      </c>
      <c r="EF53" s="1">
        <f t="shared" si="7"/>
        <v>1</v>
      </c>
      <c r="EH53" s="1">
        <v>0</v>
      </c>
      <c r="EN53" s="1">
        <f t="shared" si="8"/>
        <v>0</v>
      </c>
      <c r="EP53" s="1">
        <v>0</v>
      </c>
      <c r="EV53" s="1">
        <f t="shared" si="9"/>
        <v>0</v>
      </c>
      <c r="EX53" s="1">
        <v>0</v>
      </c>
      <c r="FE53" s="1">
        <v>1</v>
      </c>
      <c r="FK53" s="1">
        <f t="shared" si="10"/>
        <v>1</v>
      </c>
      <c r="FM53" s="1">
        <v>0</v>
      </c>
      <c r="FS53" s="1">
        <f t="shared" si="11"/>
        <v>0</v>
      </c>
      <c r="FU53" s="1">
        <v>0</v>
      </c>
      <c r="GA53" s="1">
        <f t="shared" si="12"/>
        <v>0</v>
      </c>
      <c r="GJ53" s="1">
        <v>0</v>
      </c>
      <c r="GP53" s="1">
        <f t="shared" si="13"/>
        <v>0</v>
      </c>
      <c r="GR53" s="1">
        <v>5000</v>
      </c>
      <c r="GX53" s="1">
        <f t="shared" si="14"/>
        <v>5</v>
      </c>
      <c r="GZ53" s="1">
        <v>1</v>
      </c>
      <c r="HF53" s="1">
        <f t="shared" si="15"/>
        <v>1</v>
      </c>
      <c r="HH53" s="1">
        <v>11</v>
      </c>
      <c r="HN53" s="1">
        <f t="shared" si="16"/>
        <v>11</v>
      </c>
      <c r="HP53" s="1">
        <v>0</v>
      </c>
      <c r="HV53" s="1">
        <f t="shared" si="17"/>
        <v>0</v>
      </c>
      <c r="IK53" s="1">
        <v>0</v>
      </c>
      <c r="IL53" s="1">
        <v>0</v>
      </c>
      <c r="IM53" s="1">
        <v>0</v>
      </c>
      <c r="IN53" s="1">
        <v>80</v>
      </c>
      <c r="IO53" s="1">
        <v>0</v>
      </c>
    </row>
    <row r="54" spans="1:249" x14ac:dyDescent="0.25">
      <c r="A54" s="1">
        <v>53</v>
      </c>
      <c r="B54" s="1" t="s">
        <v>237</v>
      </c>
      <c r="C54" s="1" t="s">
        <v>194</v>
      </c>
      <c r="D54" s="1" t="s">
        <v>277</v>
      </c>
      <c r="E54" s="1" t="s">
        <v>277</v>
      </c>
      <c r="F54" s="1">
        <v>0</v>
      </c>
      <c r="G54" s="1">
        <v>0</v>
      </c>
      <c r="H54" s="1">
        <v>1</v>
      </c>
      <c r="I54" s="1">
        <v>56</v>
      </c>
      <c r="J54" s="1">
        <v>1</v>
      </c>
      <c r="K54" s="1">
        <v>1</v>
      </c>
      <c r="M54" s="1">
        <v>1</v>
      </c>
      <c r="N54" s="1">
        <v>1</v>
      </c>
      <c r="O54" s="1">
        <v>3</v>
      </c>
      <c r="P54" s="1">
        <v>30</v>
      </c>
      <c r="Q54" s="1">
        <v>700</v>
      </c>
      <c r="R54" s="1">
        <v>0</v>
      </c>
      <c r="T54" s="1">
        <v>0</v>
      </c>
      <c r="U54" s="1">
        <v>0</v>
      </c>
      <c r="V54" s="1">
        <v>1</v>
      </c>
      <c r="W54" s="1" t="s">
        <v>273</v>
      </c>
      <c r="X54" s="1">
        <v>5</v>
      </c>
      <c r="Y54" s="1">
        <f t="shared" si="0"/>
        <v>0</v>
      </c>
      <c r="Z54" s="1">
        <f t="shared" si="1"/>
        <v>1</v>
      </c>
      <c r="AA54" s="1">
        <v>11</v>
      </c>
      <c r="AC54" s="1">
        <v>0</v>
      </c>
      <c r="AD54" s="1">
        <v>0</v>
      </c>
      <c r="AE54" s="1">
        <v>1</v>
      </c>
      <c r="AF54" s="1">
        <v>1</v>
      </c>
      <c r="AG54" s="1">
        <v>1</v>
      </c>
      <c r="AH54" s="1">
        <v>0</v>
      </c>
      <c r="AI54" s="1">
        <v>1</v>
      </c>
      <c r="AJ54" s="1">
        <v>0</v>
      </c>
      <c r="AK54" s="1">
        <v>0</v>
      </c>
      <c r="AL54" s="1">
        <v>1</v>
      </c>
      <c r="AM54" s="1">
        <v>8</v>
      </c>
      <c r="AO54" s="1">
        <v>1</v>
      </c>
      <c r="AP54" s="1">
        <v>0</v>
      </c>
      <c r="AQ54" s="1">
        <v>0</v>
      </c>
      <c r="AS54" s="1">
        <v>1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2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4</v>
      </c>
      <c r="BG54" s="1" t="s">
        <v>224</v>
      </c>
      <c r="BR54" s="1">
        <v>0</v>
      </c>
      <c r="BS54" s="1">
        <v>0</v>
      </c>
      <c r="BT54" s="1">
        <v>0</v>
      </c>
      <c r="BU54" s="1">
        <v>1</v>
      </c>
      <c r="BV54" s="1">
        <v>1</v>
      </c>
      <c r="BW54" s="1">
        <v>1</v>
      </c>
      <c r="BX54" s="1">
        <v>0</v>
      </c>
      <c r="BZ54" s="1">
        <v>1</v>
      </c>
      <c r="CF54" s="1">
        <f t="shared" si="2"/>
        <v>0</v>
      </c>
      <c r="CH54" s="1">
        <v>2</v>
      </c>
      <c r="CO54" s="1">
        <v>1400</v>
      </c>
      <c r="CV54" s="1">
        <v>2</v>
      </c>
      <c r="DB54" s="7">
        <f t="shared" si="3"/>
        <v>0.7</v>
      </c>
      <c r="DC54" s="5">
        <f t="shared" si="4"/>
        <v>2</v>
      </c>
      <c r="DE54" s="1">
        <v>2500</v>
      </c>
      <c r="DL54" s="1">
        <v>7</v>
      </c>
      <c r="DR54" s="1">
        <f t="shared" si="5"/>
        <v>7</v>
      </c>
      <c r="DT54" s="1">
        <v>1</v>
      </c>
      <c r="DZ54" s="1">
        <f t="shared" si="6"/>
        <v>1</v>
      </c>
      <c r="EF54" s="1">
        <f t="shared" si="7"/>
        <v>0</v>
      </c>
      <c r="EH54" s="1">
        <v>0</v>
      </c>
      <c r="EN54" s="1">
        <f t="shared" si="8"/>
        <v>0</v>
      </c>
      <c r="EP54" s="1">
        <v>0</v>
      </c>
      <c r="EV54" s="1">
        <f t="shared" si="9"/>
        <v>0</v>
      </c>
      <c r="EX54" s="1">
        <v>0</v>
      </c>
      <c r="FE54" s="1">
        <v>1</v>
      </c>
      <c r="FK54" s="1">
        <f t="shared" si="10"/>
        <v>1</v>
      </c>
      <c r="FM54" s="1">
        <v>0</v>
      </c>
      <c r="FS54" s="1">
        <f t="shared" si="11"/>
        <v>0</v>
      </c>
      <c r="FU54" s="1">
        <v>0</v>
      </c>
      <c r="GA54" s="1">
        <f t="shared" si="12"/>
        <v>0</v>
      </c>
      <c r="GJ54" s="1">
        <v>0</v>
      </c>
      <c r="GP54" s="1">
        <f t="shared" si="13"/>
        <v>0</v>
      </c>
      <c r="GR54" s="1">
        <v>4000</v>
      </c>
      <c r="GX54" s="1">
        <f t="shared" si="14"/>
        <v>4</v>
      </c>
      <c r="GZ54" s="1">
        <v>1</v>
      </c>
      <c r="HF54" s="1">
        <f t="shared" si="15"/>
        <v>1</v>
      </c>
      <c r="HH54" s="1">
        <v>12</v>
      </c>
      <c r="HN54" s="1">
        <f t="shared" si="16"/>
        <v>12</v>
      </c>
      <c r="HP54" s="1">
        <v>0</v>
      </c>
      <c r="HV54" s="1">
        <f t="shared" si="17"/>
        <v>0</v>
      </c>
      <c r="IK54" s="1">
        <v>0</v>
      </c>
      <c r="IL54" s="1">
        <v>0</v>
      </c>
      <c r="IM54" s="1">
        <v>0</v>
      </c>
      <c r="IN54" s="1">
        <v>80</v>
      </c>
      <c r="IO54" s="1">
        <v>0</v>
      </c>
    </row>
    <row r="55" spans="1:249" x14ac:dyDescent="0.25">
      <c r="A55" s="1">
        <v>54</v>
      </c>
      <c r="B55" s="1" t="s">
        <v>237</v>
      </c>
      <c r="C55" s="1" t="s">
        <v>194</v>
      </c>
      <c r="D55" s="1" t="s">
        <v>277</v>
      </c>
      <c r="E55" s="1" t="s">
        <v>277</v>
      </c>
      <c r="F55" s="1">
        <v>0</v>
      </c>
      <c r="G55" s="1">
        <v>0</v>
      </c>
      <c r="H55" s="1">
        <v>1</v>
      </c>
      <c r="I55" s="1">
        <v>35</v>
      </c>
      <c r="J55" s="1">
        <v>1</v>
      </c>
      <c r="K55" s="1">
        <v>1</v>
      </c>
      <c r="M55" s="1">
        <v>0</v>
      </c>
      <c r="N55" s="1">
        <v>1</v>
      </c>
      <c r="O55" s="1">
        <v>0</v>
      </c>
      <c r="P55" s="1">
        <v>15</v>
      </c>
      <c r="Q55" s="1">
        <v>700</v>
      </c>
      <c r="R55" s="1">
        <v>0</v>
      </c>
      <c r="T55" s="1">
        <v>0</v>
      </c>
      <c r="U55" s="1">
        <v>0</v>
      </c>
      <c r="V55" s="1">
        <v>1</v>
      </c>
      <c r="W55" s="1" t="s">
        <v>273</v>
      </c>
      <c r="X55" s="1">
        <v>5</v>
      </c>
      <c r="Y55" s="1">
        <f t="shared" si="0"/>
        <v>0</v>
      </c>
      <c r="Z55" s="1">
        <f t="shared" si="1"/>
        <v>1</v>
      </c>
      <c r="AA55" s="1">
        <v>11</v>
      </c>
      <c r="AC55" s="1">
        <v>0</v>
      </c>
      <c r="AD55" s="1">
        <v>0</v>
      </c>
      <c r="AE55" s="1">
        <v>1</v>
      </c>
      <c r="AF55" s="1">
        <v>1</v>
      </c>
      <c r="AG55" s="1">
        <v>1</v>
      </c>
      <c r="AH55" s="1">
        <v>0</v>
      </c>
      <c r="AI55" s="1">
        <v>1</v>
      </c>
      <c r="AJ55" s="1">
        <v>0</v>
      </c>
      <c r="AK55" s="1">
        <v>0</v>
      </c>
      <c r="AL55" s="1">
        <v>1</v>
      </c>
      <c r="AM55" s="1">
        <v>8</v>
      </c>
      <c r="AO55" s="1">
        <v>1</v>
      </c>
      <c r="AP55" s="1">
        <v>0</v>
      </c>
      <c r="AQ55" s="1">
        <v>0</v>
      </c>
      <c r="AS55" s="1">
        <v>1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2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4</v>
      </c>
      <c r="BG55" s="1" t="s">
        <v>224</v>
      </c>
      <c r="BR55" s="1">
        <v>0</v>
      </c>
      <c r="BS55" s="1">
        <v>0</v>
      </c>
      <c r="BT55" s="1">
        <v>0</v>
      </c>
      <c r="BU55" s="1">
        <v>1</v>
      </c>
      <c r="BV55" s="1">
        <v>1</v>
      </c>
      <c r="BW55" s="1">
        <v>1</v>
      </c>
      <c r="BX55" s="1">
        <v>0</v>
      </c>
      <c r="BZ55" s="1">
        <v>1</v>
      </c>
      <c r="CA55" s="1">
        <v>1</v>
      </c>
      <c r="CF55" s="1">
        <f t="shared" si="2"/>
        <v>1</v>
      </c>
      <c r="CH55" s="1">
        <v>1.5</v>
      </c>
      <c r="CI55" s="1">
        <v>0.5</v>
      </c>
      <c r="CO55" s="1">
        <v>900</v>
      </c>
      <c r="CP55" s="1">
        <v>300</v>
      </c>
      <c r="CV55" s="1">
        <v>1.5</v>
      </c>
      <c r="CW55" s="1">
        <v>0.5</v>
      </c>
      <c r="DB55" s="7">
        <f t="shared" si="3"/>
        <v>0.6</v>
      </c>
      <c r="DC55" s="5">
        <f t="shared" si="4"/>
        <v>1</v>
      </c>
      <c r="DE55" s="1">
        <v>3000</v>
      </c>
      <c r="DF55" s="1">
        <v>1500</v>
      </c>
      <c r="DL55" s="1">
        <v>7</v>
      </c>
      <c r="DR55" s="1">
        <f t="shared" si="5"/>
        <v>7</v>
      </c>
      <c r="DT55" s="1">
        <v>1</v>
      </c>
      <c r="DZ55" s="1">
        <f t="shared" si="6"/>
        <v>1</v>
      </c>
      <c r="ED55" s="1">
        <v>1</v>
      </c>
      <c r="EF55" s="1">
        <f t="shared" si="7"/>
        <v>1</v>
      </c>
      <c r="EH55" s="1">
        <v>0</v>
      </c>
      <c r="EI55" s="1">
        <v>0</v>
      </c>
      <c r="EN55" s="1">
        <f t="shared" si="8"/>
        <v>0</v>
      </c>
      <c r="EP55" s="1">
        <v>0</v>
      </c>
      <c r="EQ55" s="1">
        <v>0</v>
      </c>
      <c r="EV55" s="1">
        <f t="shared" si="9"/>
        <v>0</v>
      </c>
      <c r="EX55" s="1">
        <v>0</v>
      </c>
      <c r="EY55" s="1">
        <v>0</v>
      </c>
      <c r="FE55" s="1">
        <v>1</v>
      </c>
      <c r="FF55" s="1">
        <v>0</v>
      </c>
      <c r="FK55" s="1">
        <f t="shared" si="10"/>
        <v>1</v>
      </c>
      <c r="FM55" s="1">
        <v>0</v>
      </c>
      <c r="FN55" s="1">
        <v>0</v>
      </c>
      <c r="FS55" s="1">
        <f t="shared" si="11"/>
        <v>0</v>
      </c>
      <c r="FU55" s="1">
        <v>0</v>
      </c>
      <c r="FV55" s="1">
        <v>0</v>
      </c>
      <c r="GA55" s="1">
        <f t="shared" si="12"/>
        <v>0</v>
      </c>
      <c r="GJ55" s="1">
        <v>0</v>
      </c>
      <c r="GP55" s="1">
        <f t="shared" si="13"/>
        <v>0</v>
      </c>
      <c r="GR55" s="1">
        <v>4500</v>
      </c>
      <c r="GX55" s="1">
        <f t="shared" si="14"/>
        <v>4.5</v>
      </c>
      <c r="GZ55" s="5">
        <v>1</v>
      </c>
      <c r="HD55" s="2"/>
      <c r="HF55" s="1">
        <f t="shared" si="15"/>
        <v>1</v>
      </c>
      <c r="HH55" s="1">
        <v>12</v>
      </c>
      <c r="HI55" s="1">
        <v>15</v>
      </c>
      <c r="HN55" s="1">
        <f t="shared" si="16"/>
        <v>13.5</v>
      </c>
      <c r="HP55" s="1">
        <v>0</v>
      </c>
      <c r="HV55" s="1">
        <f t="shared" si="17"/>
        <v>0</v>
      </c>
      <c r="IK55" s="1">
        <v>0</v>
      </c>
      <c r="IL55" s="1">
        <v>0</v>
      </c>
      <c r="IM55" s="1">
        <v>0</v>
      </c>
      <c r="IN55" s="1">
        <v>80</v>
      </c>
      <c r="IO55" s="1">
        <v>0</v>
      </c>
    </row>
    <row r="56" spans="1:249" x14ac:dyDescent="0.25">
      <c r="A56" s="1">
        <v>55</v>
      </c>
      <c r="B56" s="1" t="s">
        <v>237</v>
      </c>
      <c r="C56" s="1" t="s">
        <v>194</v>
      </c>
      <c r="D56" s="1" t="s">
        <v>219</v>
      </c>
      <c r="E56" s="1" t="s">
        <v>227</v>
      </c>
      <c r="F56" s="1">
        <v>0</v>
      </c>
      <c r="G56" s="1">
        <v>0</v>
      </c>
      <c r="H56" s="1">
        <v>1</v>
      </c>
      <c r="I56" s="1">
        <v>44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7</v>
      </c>
      <c r="P56" s="1">
        <v>24</v>
      </c>
      <c r="Q56" s="1">
        <v>600</v>
      </c>
      <c r="R56" s="1">
        <v>0</v>
      </c>
      <c r="T56" s="1">
        <v>1</v>
      </c>
      <c r="U56" s="1">
        <v>500</v>
      </c>
      <c r="V56" s="1">
        <v>1</v>
      </c>
      <c r="W56" s="1" t="s">
        <v>278</v>
      </c>
      <c r="X56" s="1">
        <v>4</v>
      </c>
      <c r="Y56" s="1">
        <f t="shared" si="0"/>
        <v>0</v>
      </c>
      <c r="Z56" s="1">
        <f t="shared" si="1"/>
        <v>1</v>
      </c>
      <c r="AA56" s="1">
        <v>8</v>
      </c>
      <c r="AC56" s="1">
        <v>0</v>
      </c>
      <c r="AD56" s="1">
        <v>0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0</v>
      </c>
      <c r="AK56" s="1">
        <v>1</v>
      </c>
      <c r="AL56" s="1">
        <v>1</v>
      </c>
      <c r="AM56" s="1">
        <v>9</v>
      </c>
      <c r="AO56" s="1">
        <v>1</v>
      </c>
      <c r="AP56" s="1">
        <v>0</v>
      </c>
      <c r="AQ56" s="1">
        <v>0</v>
      </c>
      <c r="AS56" s="1">
        <v>1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2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8</v>
      </c>
      <c r="BG56" s="1" t="s">
        <v>224</v>
      </c>
      <c r="BH56" s="1" t="s">
        <v>210</v>
      </c>
      <c r="BI56" s="1" t="s">
        <v>260</v>
      </c>
      <c r="BR56" s="1">
        <v>1</v>
      </c>
      <c r="BS56" s="1">
        <v>1</v>
      </c>
      <c r="BT56" s="1">
        <v>1</v>
      </c>
      <c r="BU56" s="1">
        <v>1</v>
      </c>
      <c r="BV56" s="1">
        <v>1</v>
      </c>
      <c r="BW56" s="1">
        <v>1</v>
      </c>
      <c r="BX56" s="1">
        <v>1</v>
      </c>
      <c r="BZ56" s="1">
        <v>1</v>
      </c>
      <c r="CF56" s="1">
        <f t="shared" si="2"/>
        <v>0</v>
      </c>
      <c r="CH56" s="1">
        <v>2</v>
      </c>
      <c r="CO56" s="1">
        <v>600</v>
      </c>
      <c r="CV56" s="1">
        <v>2</v>
      </c>
      <c r="DB56" s="7">
        <f t="shared" si="3"/>
        <v>0.3</v>
      </c>
      <c r="DC56" s="5">
        <f t="shared" si="4"/>
        <v>1</v>
      </c>
      <c r="DE56" s="1">
        <v>3000</v>
      </c>
      <c r="DL56" s="1">
        <v>9</v>
      </c>
      <c r="DR56" s="1">
        <f t="shared" si="5"/>
        <v>9</v>
      </c>
      <c r="DZ56" s="1">
        <f t="shared" si="6"/>
        <v>0</v>
      </c>
      <c r="EB56" s="1">
        <v>1</v>
      </c>
      <c r="EC56" s="1">
        <v>1</v>
      </c>
      <c r="EF56" s="1">
        <f t="shared" si="7"/>
        <v>1</v>
      </c>
      <c r="EH56" s="1">
        <v>0</v>
      </c>
      <c r="EN56" s="1">
        <f t="shared" si="8"/>
        <v>0</v>
      </c>
      <c r="EP56" s="1">
        <v>0</v>
      </c>
      <c r="EV56" s="1">
        <f t="shared" si="9"/>
        <v>0</v>
      </c>
      <c r="EX56" s="1">
        <v>0</v>
      </c>
      <c r="FE56" s="1">
        <v>1</v>
      </c>
      <c r="FK56" s="1">
        <f t="shared" si="10"/>
        <v>1</v>
      </c>
      <c r="FM56" s="1">
        <v>0</v>
      </c>
      <c r="FS56" s="1">
        <f t="shared" si="11"/>
        <v>0</v>
      </c>
      <c r="FU56" s="1">
        <v>1</v>
      </c>
      <c r="GA56" s="1">
        <f t="shared" si="12"/>
        <v>1</v>
      </c>
      <c r="GC56" s="1" t="s">
        <v>231</v>
      </c>
      <c r="GJ56" s="1">
        <v>0</v>
      </c>
      <c r="GP56" s="1">
        <f t="shared" si="13"/>
        <v>0</v>
      </c>
      <c r="GR56" s="1">
        <v>10000</v>
      </c>
      <c r="GX56" s="1">
        <f t="shared" si="14"/>
        <v>10</v>
      </c>
      <c r="GZ56" s="5">
        <v>1</v>
      </c>
      <c r="HF56" s="1">
        <f t="shared" si="15"/>
        <v>1</v>
      </c>
      <c r="HH56" s="1">
        <v>12</v>
      </c>
      <c r="HN56" s="1">
        <f t="shared" si="16"/>
        <v>12</v>
      </c>
      <c r="HP56" s="1">
        <v>0</v>
      </c>
      <c r="HV56" s="1">
        <f t="shared" si="17"/>
        <v>0</v>
      </c>
      <c r="IK56" s="1">
        <v>32</v>
      </c>
      <c r="IL56" s="1">
        <v>32</v>
      </c>
      <c r="IM56" s="1">
        <v>16</v>
      </c>
      <c r="IN56" s="1">
        <v>48</v>
      </c>
      <c r="IO56" s="1">
        <v>32</v>
      </c>
    </row>
    <row r="57" spans="1:249" x14ac:dyDescent="0.25">
      <c r="A57" s="1">
        <v>56</v>
      </c>
      <c r="B57" s="1" t="s">
        <v>237</v>
      </c>
      <c r="C57" s="1" t="s">
        <v>194</v>
      </c>
      <c r="D57" s="1" t="s">
        <v>195</v>
      </c>
      <c r="E57" s="1" t="s">
        <v>195</v>
      </c>
      <c r="F57" s="1">
        <v>0</v>
      </c>
      <c r="G57" s="1">
        <v>1</v>
      </c>
      <c r="H57" s="1">
        <v>0</v>
      </c>
      <c r="I57" s="1">
        <v>45</v>
      </c>
      <c r="J57" s="1">
        <v>1</v>
      </c>
      <c r="K57" s="1">
        <v>1</v>
      </c>
      <c r="M57" s="1">
        <v>1</v>
      </c>
      <c r="N57" s="1">
        <v>1</v>
      </c>
      <c r="O57" s="1">
        <v>3</v>
      </c>
      <c r="P57" s="1">
        <v>32</v>
      </c>
      <c r="Q57" s="1">
        <v>1000</v>
      </c>
      <c r="R57" s="1">
        <v>1</v>
      </c>
      <c r="S57" s="1" t="s">
        <v>309</v>
      </c>
      <c r="T57" s="1">
        <v>1</v>
      </c>
      <c r="U57" s="1">
        <v>400</v>
      </c>
      <c r="V57" s="1">
        <v>0</v>
      </c>
      <c r="X57" s="1">
        <v>3</v>
      </c>
      <c r="Y57" s="1">
        <f t="shared" si="0"/>
        <v>1</v>
      </c>
      <c r="Z57" s="1">
        <f t="shared" si="1"/>
        <v>0</v>
      </c>
      <c r="AA57" s="1">
        <v>6</v>
      </c>
      <c r="AC57" s="1">
        <v>0</v>
      </c>
      <c r="AD57" s="1">
        <v>0</v>
      </c>
      <c r="AE57" s="1">
        <v>1</v>
      </c>
      <c r="AF57" s="1">
        <v>1</v>
      </c>
      <c r="AG57" s="1">
        <v>1</v>
      </c>
      <c r="AH57" s="1">
        <v>0</v>
      </c>
      <c r="AI57" s="1">
        <v>1</v>
      </c>
      <c r="AJ57" s="1">
        <v>0</v>
      </c>
      <c r="AK57" s="1">
        <v>1</v>
      </c>
      <c r="AL57" s="1">
        <v>0</v>
      </c>
      <c r="AM57" s="1">
        <v>6</v>
      </c>
      <c r="AO57" s="1">
        <v>1</v>
      </c>
      <c r="AP57" s="1">
        <v>0</v>
      </c>
      <c r="AQ57" s="1">
        <v>0</v>
      </c>
      <c r="AS57" s="1">
        <v>1</v>
      </c>
      <c r="AT57" s="1">
        <v>1</v>
      </c>
      <c r="AU57" s="1">
        <v>0</v>
      </c>
      <c r="AV57" s="1">
        <v>0</v>
      </c>
      <c r="AW57" s="1">
        <v>0</v>
      </c>
      <c r="AX57" s="1">
        <v>0</v>
      </c>
      <c r="AY57" s="1">
        <v>3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15</v>
      </c>
      <c r="BG57" s="1" t="s">
        <v>224</v>
      </c>
      <c r="BH57" s="1" t="s">
        <v>210</v>
      </c>
      <c r="BI57" s="1" t="s">
        <v>225</v>
      </c>
      <c r="BO57" s="1" t="s">
        <v>233</v>
      </c>
      <c r="BR57" s="1">
        <v>1</v>
      </c>
      <c r="BS57" s="1">
        <v>0</v>
      </c>
      <c r="BT57" s="1">
        <v>0</v>
      </c>
      <c r="BU57" s="1">
        <v>1</v>
      </c>
      <c r="BV57" s="1">
        <v>0</v>
      </c>
      <c r="BW57" s="1">
        <v>1</v>
      </c>
      <c r="BX57" s="1">
        <v>0</v>
      </c>
      <c r="BZ57" s="1">
        <v>1</v>
      </c>
      <c r="CF57" s="1">
        <f t="shared" si="2"/>
        <v>0</v>
      </c>
      <c r="CH57" s="1">
        <v>3</v>
      </c>
      <c r="CO57" s="1">
        <v>2500</v>
      </c>
      <c r="CV57" s="1">
        <v>3</v>
      </c>
      <c r="DB57" s="7">
        <f t="shared" si="3"/>
        <v>0.83333333333333337</v>
      </c>
      <c r="DC57" s="5">
        <f t="shared" si="4"/>
        <v>3</v>
      </c>
      <c r="DE57" s="1">
        <v>3333</v>
      </c>
      <c r="DL57" s="1">
        <v>5</v>
      </c>
      <c r="DR57" s="1">
        <f t="shared" si="5"/>
        <v>5</v>
      </c>
      <c r="DZ57" s="1">
        <f t="shared" si="6"/>
        <v>0</v>
      </c>
      <c r="EC57" s="1">
        <v>1</v>
      </c>
      <c r="EF57" s="1">
        <f t="shared" si="7"/>
        <v>1</v>
      </c>
      <c r="EH57" s="1">
        <v>0</v>
      </c>
      <c r="EN57" s="1">
        <f t="shared" si="8"/>
        <v>0</v>
      </c>
      <c r="EP57" s="1">
        <v>1</v>
      </c>
      <c r="EV57" s="1">
        <f t="shared" si="9"/>
        <v>1</v>
      </c>
      <c r="EX57" s="1">
        <v>1</v>
      </c>
      <c r="FE57" s="1">
        <v>1</v>
      </c>
      <c r="FK57" s="1">
        <f t="shared" si="10"/>
        <v>1</v>
      </c>
      <c r="FM57" s="1">
        <v>0</v>
      </c>
      <c r="FS57" s="1">
        <f t="shared" si="11"/>
        <v>0</v>
      </c>
      <c r="FU57" s="1">
        <v>0</v>
      </c>
      <c r="GA57" s="1">
        <f t="shared" si="12"/>
        <v>0</v>
      </c>
      <c r="GJ57" s="1">
        <v>0</v>
      </c>
      <c r="GP57" s="1">
        <f t="shared" si="13"/>
        <v>0</v>
      </c>
      <c r="GR57" s="1">
        <v>2500</v>
      </c>
      <c r="GX57" s="1">
        <f t="shared" si="14"/>
        <v>2.5</v>
      </c>
      <c r="GZ57" s="5">
        <v>1</v>
      </c>
      <c r="HC57" s="3"/>
      <c r="HF57" s="1">
        <f t="shared" si="15"/>
        <v>1</v>
      </c>
      <c r="HH57" s="1">
        <v>12.1</v>
      </c>
      <c r="HN57" s="1">
        <f t="shared" si="16"/>
        <v>12.1</v>
      </c>
      <c r="HP57" s="1">
        <v>0</v>
      </c>
      <c r="HV57" s="1">
        <f t="shared" si="17"/>
        <v>0</v>
      </c>
      <c r="IK57" s="1">
        <v>0</v>
      </c>
      <c r="IL57" s="1">
        <v>120</v>
      </c>
      <c r="IM57" s="1">
        <v>0</v>
      </c>
      <c r="IN57" s="1">
        <v>120</v>
      </c>
      <c r="IO57" s="1">
        <v>0</v>
      </c>
    </row>
    <row r="58" spans="1:249" x14ac:dyDescent="0.25">
      <c r="A58" s="1">
        <v>57</v>
      </c>
      <c r="B58" s="1" t="s">
        <v>237</v>
      </c>
      <c r="C58" s="1" t="s">
        <v>194</v>
      </c>
      <c r="D58" s="1" t="s">
        <v>222</v>
      </c>
      <c r="E58" s="1" t="s">
        <v>229</v>
      </c>
      <c r="F58" s="1">
        <v>0</v>
      </c>
      <c r="G58" s="1">
        <v>0</v>
      </c>
      <c r="H58" s="1">
        <v>1</v>
      </c>
      <c r="I58" s="1">
        <v>41</v>
      </c>
      <c r="J58" s="1">
        <v>1</v>
      </c>
      <c r="K58" s="1">
        <v>1</v>
      </c>
      <c r="M58" s="1">
        <v>0</v>
      </c>
      <c r="N58" s="1">
        <v>1</v>
      </c>
      <c r="O58" s="1">
        <v>5</v>
      </c>
      <c r="P58" s="1">
        <v>41</v>
      </c>
      <c r="Q58" s="1">
        <v>700</v>
      </c>
      <c r="R58" s="1">
        <v>1</v>
      </c>
      <c r="S58" s="1" t="s">
        <v>220</v>
      </c>
      <c r="T58" s="1">
        <v>1</v>
      </c>
      <c r="U58" s="1">
        <v>350</v>
      </c>
      <c r="V58" s="1">
        <v>1</v>
      </c>
      <c r="W58" s="1" t="s">
        <v>240</v>
      </c>
      <c r="X58" s="1">
        <v>3</v>
      </c>
      <c r="Y58" s="1">
        <f t="shared" si="0"/>
        <v>1</v>
      </c>
      <c r="Z58" s="1">
        <f t="shared" si="1"/>
        <v>0</v>
      </c>
      <c r="AA58" s="1">
        <v>6</v>
      </c>
      <c r="AC58" s="1">
        <v>0</v>
      </c>
      <c r="AD58" s="1">
        <v>0</v>
      </c>
      <c r="AE58" s="1">
        <v>1</v>
      </c>
      <c r="AF58" s="1">
        <v>1</v>
      </c>
      <c r="AG58" s="1">
        <v>1</v>
      </c>
      <c r="AH58" s="1">
        <v>0</v>
      </c>
      <c r="AI58" s="1">
        <v>1</v>
      </c>
      <c r="AJ58" s="1">
        <v>0</v>
      </c>
      <c r="AK58" s="1">
        <v>0</v>
      </c>
      <c r="AL58" s="1">
        <v>0</v>
      </c>
      <c r="AM58" s="1">
        <v>3</v>
      </c>
      <c r="AO58" s="1">
        <v>1</v>
      </c>
      <c r="AP58" s="1">
        <v>0</v>
      </c>
      <c r="AQ58" s="1">
        <v>0</v>
      </c>
      <c r="AS58" s="1">
        <v>1</v>
      </c>
      <c r="AT58" s="1">
        <v>1</v>
      </c>
      <c r="AU58" s="1">
        <v>0</v>
      </c>
      <c r="AV58" s="1">
        <v>0</v>
      </c>
      <c r="AW58" s="1">
        <v>0</v>
      </c>
      <c r="AX58" s="1">
        <v>0</v>
      </c>
      <c r="AY58" s="1">
        <v>1</v>
      </c>
      <c r="AZ58" s="1">
        <v>1</v>
      </c>
      <c r="BA58" s="1">
        <v>0</v>
      </c>
      <c r="BB58" s="1">
        <v>0</v>
      </c>
      <c r="BC58" s="1">
        <v>0</v>
      </c>
      <c r="BD58" s="1">
        <v>0</v>
      </c>
      <c r="BE58" s="1">
        <v>2</v>
      </c>
      <c r="BG58" s="1" t="s">
        <v>224</v>
      </c>
      <c r="BH58" s="1" t="s">
        <v>260</v>
      </c>
      <c r="BO58" s="1" t="s">
        <v>233</v>
      </c>
      <c r="BR58" s="1">
        <v>1</v>
      </c>
      <c r="BS58" s="1">
        <v>0</v>
      </c>
      <c r="BT58" s="1">
        <v>0</v>
      </c>
      <c r="BU58" s="1">
        <v>0</v>
      </c>
      <c r="BV58" s="1">
        <v>0</v>
      </c>
      <c r="BW58" s="1">
        <v>1</v>
      </c>
      <c r="BX58" s="1">
        <v>0</v>
      </c>
      <c r="BZ58" s="1">
        <v>1</v>
      </c>
      <c r="CF58" s="1">
        <f t="shared" si="2"/>
        <v>0</v>
      </c>
      <c r="CH58" s="1">
        <v>1</v>
      </c>
      <c r="CO58" s="1">
        <v>2000</v>
      </c>
      <c r="CV58" s="1">
        <v>1</v>
      </c>
      <c r="DB58" s="7">
        <f t="shared" si="3"/>
        <v>2</v>
      </c>
      <c r="DC58" s="5">
        <f t="shared" si="4"/>
        <v>3</v>
      </c>
      <c r="DE58" s="1">
        <v>2500</v>
      </c>
      <c r="DL58" s="1">
        <v>3</v>
      </c>
      <c r="DR58" s="1">
        <f t="shared" si="5"/>
        <v>3</v>
      </c>
      <c r="DZ58" s="1">
        <f t="shared" si="6"/>
        <v>0</v>
      </c>
      <c r="EC58" s="1">
        <v>1</v>
      </c>
      <c r="EF58" s="1">
        <f t="shared" si="7"/>
        <v>1</v>
      </c>
      <c r="EH58" s="1">
        <v>0</v>
      </c>
      <c r="EN58" s="1">
        <f t="shared" si="8"/>
        <v>0</v>
      </c>
      <c r="EP58" s="1">
        <v>1</v>
      </c>
      <c r="EV58" s="1">
        <f t="shared" si="9"/>
        <v>1</v>
      </c>
      <c r="EX58" s="1">
        <v>1</v>
      </c>
      <c r="FE58" s="1">
        <v>1</v>
      </c>
      <c r="FK58" s="1">
        <f t="shared" si="10"/>
        <v>1</v>
      </c>
      <c r="FM58" s="1">
        <v>0</v>
      </c>
      <c r="FS58" s="1">
        <f t="shared" si="11"/>
        <v>0</v>
      </c>
      <c r="FU58" s="1">
        <v>0</v>
      </c>
      <c r="GA58" s="1">
        <f t="shared" si="12"/>
        <v>0</v>
      </c>
      <c r="GJ58" s="1">
        <v>0</v>
      </c>
      <c r="GP58" s="1">
        <f t="shared" si="13"/>
        <v>0</v>
      </c>
      <c r="GR58" s="1">
        <v>2000</v>
      </c>
      <c r="GX58" s="1">
        <f t="shared" si="14"/>
        <v>2</v>
      </c>
      <c r="GZ58" s="6">
        <v>1</v>
      </c>
      <c r="HA58" s="4"/>
      <c r="HB58" s="4"/>
      <c r="HF58" s="1">
        <f t="shared" si="15"/>
        <v>1</v>
      </c>
      <c r="HH58" s="1">
        <v>12.1</v>
      </c>
      <c r="HN58" s="1">
        <f t="shared" si="16"/>
        <v>12.1</v>
      </c>
      <c r="HP58" s="1">
        <v>0</v>
      </c>
      <c r="HV58" s="1">
        <f t="shared" si="17"/>
        <v>0</v>
      </c>
      <c r="IK58" s="1">
        <v>0</v>
      </c>
      <c r="IL58" s="1">
        <v>0</v>
      </c>
      <c r="IM58" s="1">
        <v>0</v>
      </c>
      <c r="IN58" s="1">
        <v>24</v>
      </c>
      <c r="IO58" s="1">
        <v>0</v>
      </c>
    </row>
    <row r="59" spans="1:249" x14ac:dyDescent="0.25">
      <c r="A59" s="1">
        <v>58</v>
      </c>
      <c r="B59" s="1" t="s">
        <v>237</v>
      </c>
      <c r="C59" s="1" t="s">
        <v>194</v>
      </c>
      <c r="D59" s="1" t="s">
        <v>222</v>
      </c>
      <c r="E59" s="1" t="s">
        <v>229</v>
      </c>
      <c r="F59" s="1">
        <v>0</v>
      </c>
      <c r="G59" s="1">
        <v>0</v>
      </c>
      <c r="H59" s="1">
        <v>1</v>
      </c>
      <c r="I59" s="1">
        <v>35</v>
      </c>
      <c r="J59" s="1">
        <v>1</v>
      </c>
      <c r="K59" s="1">
        <v>1</v>
      </c>
      <c r="M59" s="1">
        <v>0</v>
      </c>
      <c r="N59" s="1">
        <v>1</v>
      </c>
      <c r="O59" s="1">
        <v>3</v>
      </c>
      <c r="P59" s="1">
        <v>35</v>
      </c>
      <c r="Q59" s="1">
        <v>1000</v>
      </c>
      <c r="R59" s="1">
        <v>1</v>
      </c>
      <c r="S59" s="1" t="s">
        <v>309</v>
      </c>
      <c r="T59" s="1">
        <v>1</v>
      </c>
      <c r="U59" s="1">
        <v>500</v>
      </c>
      <c r="V59" s="1">
        <v>1</v>
      </c>
      <c r="W59" s="1" t="s">
        <v>240</v>
      </c>
      <c r="X59" s="1">
        <v>4</v>
      </c>
      <c r="Y59" s="1">
        <f t="shared" si="0"/>
        <v>0</v>
      </c>
      <c r="Z59" s="1">
        <f t="shared" si="1"/>
        <v>1</v>
      </c>
      <c r="AA59" s="1">
        <v>9</v>
      </c>
      <c r="AC59" s="1">
        <v>0</v>
      </c>
      <c r="AD59" s="1">
        <v>0</v>
      </c>
      <c r="AE59" s="1">
        <v>1</v>
      </c>
      <c r="AF59" s="1">
        <v>1</v>
      </c>
      <c r="AG59" s="1">
        <v>1</v>
      </c>
      <c r="AH59" s="1">
        <v>0</v>
      </c>
      <c r="AI59" s="1">
        <v>1</v>
      </c>
      <c r="AJ59" s="1">
        <v>0</v>
      </c>
      <c r="AK59" s="1">
        <v>0</v>
      </c>
      <c r="AL59" s="1">
        <v>0</v>
      </c>
      <c r="AM59" s="1">
        <v>3</v>
      </c>
      <c r="AO59" s="1">
        <v>1</v>
      </c>
      <c r="AP59" s="1">
        <v>0</v>
      </c>
      <c r="AQ59" s="1">
        <v>0</v>
      </c>
      <c r="AS59" s="1">
        <v>1</v>
      </c>
      <c r="AT59" s="1">
        <v>1</v>
      </c>
      <c r="AU59" s="1">
        <v>0</v>
      </c>
      <c r="AV59" s="1">
        <v>0</v>
      </c>
      <c r="AW59" s="1">
        <v>0</v>
      </c>
      <c r="AX59" s="1">
        <v>0</v>
      </c>
      <c r="AY59" s="1">
        <v>2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3</v>
      </c>
      <c r="BG59" s="1" t="s">
        <v>224</v>
      </c>
      <c r="BH59" s="1" t="s">
        <v>210</v>
      </c>
      <c r="BI59" s="1" t="s">
        <v>260</v>
      </c>
      <c r="BO59" s="1" t="s">
        <v>233</v>
      </c>
      <c r="BR59" s="1">
        <v>1</v>
      </c>
      <c r="BS59" s="1">
        <v>0</v>
      </c>
      <c r="BT59" s="1">
        <v>0</v>
      </c>
      <c r="BU59" s="1">
        <v>0</v>
      </c>
      <c r="BV59" s="1">
        <v>0</v>
      </c>
      <c r="BW59" s="1">
        <v>1</v>
      </c>
      <c r="BX59" s="1">
        <v>0</v>
      </c>
      <c r="BZ59" s="1">
        <v>1</v>
      </c>
      <c r="CF59" s="1">
        <f t="shared" si="2"/>
        <v>0</v>
      </c>
      <c r="CH59" s="1">
        <v>2</v>
      </c>
      <c r="CO59" s="1">
        <v>3000</v>
      </c>
      <c r="CV59" s="1">
        <v>2</v>
      </c>
      <c r="DB59" s="7">
        <f t="shared" si="3"/>
        <v>1.5</v>
      </c>
      <c r="DC59" s="5">
        <f t="shared" si="4"/>
        <v>3</v>
      </c>
      <c r="DE59" s="1">
        <v>3000</v>
      </c>
      <c r="DL59" s="1">
        <v>3</v>
      </c>
      <c r="DR59" s="1">
        <f t="shared" si="5"/>
        <v>3</v>
      </c>
      <c r="DZ59" s="1">
        <f t="shared" si="6"/>
        <v>0</v>
      </c>
      <c r="EC59" s="1">
        <v>1</v>
      </c>
      <c r="EF59" s="1">
        <f t="shared" si="7"/>
        <v>1</v>
      </c>
      <c r="EH59" s="1">
        <v>0</v>
      </c>
      <c r="EN59" s="1">
        <f t="shared" si="8"/>
        <v>0</v>
      </c>
      <c r="EP59" s="1">
        <v>1</v>
      </c>
      <c r="EV59" s="1">
        <f t="shared" si="9"/>
        <v>1</v>
      </c>
      <c r="EX59" s="1">
        <v>1</v>
      </c>
      <c r="FE59" s="1">
        <v>1</v>
      </c>
      <c r="FK59" s="1">
        <f t="shared" si="10"/>
        <v>1</v>
      </c>
      <c r="FM59" s="1">
        <v>0</v>
      </c>
      <c r="FS59" s="1">
        <f t="shared" si="11"/>
        <v>0</v>
      </c>
      <c r="FU59" s="1">
        <v>0</v>
      </c>
      <c r="GA59" s="1">
        <f t="shared" si="12"/>
        <v>0</v>
      </c>
      <c r="GJ59" s="1">
        <v>0</v>
      </c>
      <c r="GP59" s="1">
        <f t="shared" si="13"/>
        <v>0</v>
      </c>
      <c r="GR59" s="1">
        <v>2500</v>
      </c>
      <c r="GX59" s="1">
        <f t="shared" si="14"/>
        <v>2.5</v>
      </c>
      <c r="GZ59" s="5">
        <v>0</v>
      </c>
      <c r="HF59" s="1">
        <f t="shared" si="15"/>
        <v>0</v>
      </c>
      <c r="HH59" s="1">
        <v>12.1</v>
      </c>
      <c r="HN59" s="1">
        <f t="shared" si="16"/>
        <v>12.1</v>
      </c>
      <c r="HP59" s="1">
        <v>0</v>
      </c>
      <c r="HV59" s="1">
        <f t="shared" si="17"/>
        <v>0</v>
      </c>
      <c r="IK59" s="1">
        <v>0</v>
      </c>
      <c r="IL59" s="1">
        <v>0</v>
      </c>
      <c r="IM59" s="1">
        <v>0</v>
      </c>
      <c r="IN59" s="1">
        <v>48</v>
      </c>
      <c r="IO59" s="1">
        <v>0</v>
      </c>
    </row>
    <row r="60" spans="1:249" x14ac:dyDescent="0.25">
      <c r="A60" s="1">
        <v>59</v>
      </c>
      <c r="B60" s="1" t="s">
        <v>237</v>
      </c>
      <c r="C60" s="1" t="s">
        <v>194</v>
      </c>
      <c r="D60" s="1" t="s">
        <v>222</v>
      </c>
      <c r="E60" s="1" t="s">
        <v>229</v>
      </c>
      <c r="F60" s="1">
        <v>0</v>
      </c>
      <c r="G60" s="1">
        <v>0</v>
      </c>
      <c r="H60" s="1">
        <v>1</v>
      </c>
      <c r="I60" s="1">
        <v>53</v>
      </c>
      <c r="J60" s="1">
        <v>1</v>
      </c>
      <c r="K60" s="1">
        <v>1</v>
      </c>
      <c r="M60" s="1">
        <v>1</v>
      </c>
      <c r="N60" s="1">
        <v>1</v>
      </c>
      <c r="O60" s="1">
        <v>5</v>
      </c>
      <c r="P60" s="1">
        <v>40</v>
      </c>
      <c r="Q60" s="1">
        <v>500</v>
      </c>
      <c r="R60" s="1">
        <v>1</v>
      </c>
      <c r="S60" s="1" t="s">
        <v>257</v>
      </c>
      <c r="T60" s="1">
        <v>1</v>
      </c>
      <c r="U60" s="1">
        <v>550</v>
      </c>
      <c r="V60" s="1">
        <v>0</v>
      </c>
      <c r="X60" s="1">
        <v>4</v>
      </c>
      <c r="Y60" s="1">
        <f t="shared" si="0"/>
        <v>0</v>
      </c>
      <c r="Z60" s="1">
        <f t="shared" si="1"/>
        <v>1</v>
      </c>
      <c r="AA60" s="1">
        <v>8</v>
      </c>
      <c r="AC60" s="1">
        <v>0</v>
      </c>
      <c r="AD60" s="1">
        <v>0</v>
      </c>
      <c r="AE60" s="1">
        <v>1</v>
      </c>
      <c r="AF60" s="1">
        <v>1</v>
      </c>
      <c r="AG60" s="1">
        <v>1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3</v>
      </c>
      <c r="AO60" s="1">
        <v>1</v>
      </c>
      <c r="AP60" s="1">
        <v>0</v>
      </c>
      <c r="AQ60" s="1">
        <v>0</v>
      </c>
      <c r="AS60" s="1">
        <v>1</v>
      </c>
      <c r="AT60" s="1">
        <v>1</v>
      </c>
      <c r="AU60" s="1">
        <v>0</v>
      </c>
      <c r="AV60" s="1">
        <v>0</v>
      </c>
      <c r="AW60" s="1">
        <v>0</v>
      </c>
      <c r="AX60" s="1">
        <v>0</v>
      </c>
      <c r="AY60" s="1">
        <v>1</v>
      </c>
      <c r="AZ60" s="1">
        <v>1</v>
      </c>
      <c r="BA60" s="1">
        <v>0</v>
      </c>
      <c r="BB60" s="1">
        <v>0</v>
      </c>
      <c r="BC60" s="1">
        <v>0</v>
      </c>
      <c r="BD60" s="1">
        <v>0</v>
      </c>
      <c r="BE60" s="1">
        <v>2</v>
      </c>
      <c r="BG60" s="1" t="s">
        <v>224</v>
      </c>
      <c r="BH60" s="1" t="s">
        <v>210</v>
      </c>
      <c r="BI60" s="1" t="s">
        <v>260</v>
      </c>
      <c r="BO60" s="1" t="s">
        <v>233</v>
      </c>
      <c r="BR60" s="1">
        <v>1</v>
      </c>
      <c r="BS60" s="1">
        <v>0</v>
      </c>
      <c r="BT60" s="1">
        <v>0</v>
      </c>
      <c r="BU60" s="1">
        <v>0</v>
      </c>
      <c r="BV60" s="1">
        <v>0</v>
      </c>
      <c r="BW60" s="1">
        <v>1</v>
      </c>
      <c r="BX60" s="1">
        <v>0</v>
      </c>
      <c r="BZ60" s="1">
        <v>1</v>
      </c>
      <c r="CF60" s="1">
        <f t="shared" si="2"/>
        <v>0</v>
      </c>
      <c r="CH60" s="1">
        <v>1</v>
      </c>
      <c r="CO60" s="1">
        <v>1500</v>
      </c>
      <c r="CV60" s="1">
        <v>1</v>
      </c>
      <c r="DB60" s="7">
        <f t="shared" si="3"/>
        <v>1.5</v>
      </c>
      <c r="DC60" s="5">
        <f t="shared" si="4"/>
        <v>3</v>
      </c>
      <c r="DE60" s="1">
        <v>3000</v>
      </c>
      <c r="DL60" s="1">
        <v>3</v>
      </c>
      <c r="DR60" s="1">
        <f t="shared" si="5"/>
        <v>3</v>
      </c>
      <c r="DZ60" s="1">
        <f t="shared" si="6"/>
        <v>0</v>
      </c>
      <c r="EF60" s="1">
        <f t="shared" si="7"/>
        <v>0</v>
      </c>
      <c r="EH60" s="1">
        <v>0</v>
      </c>
      <c r="EN60" s="1">
        <f t="shared" si="8"/>
        <v>0</v>
      </c>
      <c r="EP60" s="1">
        <v>1</v>
      </c>
      <c r="EV60" s="1">
        <f t="shared" si="9"/>
        <v>1</v>
      </c>
      <c r="EX60" s="1">
        <v>1</v>
      </c>
      <c r="FE60" s="1">
        <v>1</v>
      </c>
      <c r="FK60" s="1">
        <f t="shared" si="10"/>
        <v>1</v>
      </c>
      <c r="FM60" s="1">
        <v>0</v>
      </c>
      <c r="FS60" s="1">
        <f t="shared" si="11"/>
        <v>0</v>
      </c>
      <c r="FU60" s="1">
        <v>0</v>
      </c>
      <c r="GA60" s="1">
        <f t="shared" si="12"/>
        <v>0</v>
      </c>
      <c r="GJ60" s="1">
        <v>0</v>
      </c>
      <c r="GP60" s="1">
        <f t="shared" si="13"/>
        <v>0</v>
      </c>
      <c r="GR60" s="1">
        <v>1000</v>
      </c>
      <c r="GX60" s="1">
        <f t="shared" si="14"/>
        <v>1</v>
      </c>
      <c r="GZ60" s="5">
        <v>1</v>
      </c>
      <c r="HF60" s="1">
        <f t="shared" si="15"/>
        <v>1</v>
      </c>
      <c r="HH60" s="1">
        <v>12</v>
      </c>
      <c r="HN60" s="1">
        <f t="shared" si="16"/>
        <v>12</v>
      </c>
      <c r="HP60" s="1">
        <v>0</v>
      </c>
      <c r="HV60" s="1">
        <f t="shared" si="17"/>
        <v>0</v>
      </c>
      <c r="IK60" s="1">
        <v>0</v>
      </c>
      <c r="IL60" s="1">
        <v>0</v>
      </c>
      <c r="IM60" s="1">
        <v>0</v>
      </c>
      <c r="IN60" s="1">
        <v>24</v>
      </c>
      <c r="IO60" s="1">
        <v>0</v>
      </c>
    </row>
    <row r="61" spans="1:249" x14ac:dyDescent="0.25">
      <c r="A61" s="1">
        <v>60</v>
      </c>
      <c r="B61" s="1" t="s">
        <v>237</v>
      </c>
      <c r="C61" s="1" t="s">
        <v>194</v>
      </c>
      <c r="D61" s="1" t="s">
        <v>222</v>
      </c>
      <c r="E61" s="1" t="s">
        <v>229</v>
      </c>
      <c r="F61" s="1">
        <v>0</v>
      </c>
      <c r="G61" s="1">
        <v>0</v>
      </c>
      <c r="H61" s="1">
        <v>1</v>
      </c>
      <c r="I61" s="1">
        <v>47</v>
      </c>
      <c r="J61" s="1">
        <v>0</v>
      </c>
      <c r="K61" s="1">
        <v>0</v>
      </c>
      <c r="L61" s="1">
        <v>1</v>
      </c>
      <c r="M61" s="1">
        <v>1</v>
      </c>
      <c r="N61" s="1">
        <v>1</v>
      </c>
      <c r="O61" s="1">
        <v>6</v>
      </c>
      <c r="P61" s="1">
        <v>20</v>
      </c>
      <c r="Q61" s="1">
        <v>400</v>
      </c>
      <c r="R61" s="1">
        <v>1</v>
      </c>
      <c r="S61" s="1" t="s">
        <v>310</v>
      </c>
      <c r="T61" s="1">
        <v>1</v>
      </c>
      <c r="U61" s="1">
        <v>400</v>
      </c>
      <c r="V61" s="1">
        <v>0</v>
      </c>
      <c r="X61" s="1">
        <v>5</v>
      </c>
      <c r="Y61" s="1">
        <f t="shared" si="0"/>
        <v>0</v>
      </c>
      <c r="Z61" s="1">
        <f t="shared" si="1"/>
        <v>1</v>
      </c>
      <c r="AA61" s="1">
        <v>11</v>
      </c>
      <c r="AC61" s="1">
        <v>0</v>
      </c>
      <c r="AD61" s="1">
        <v>0</v>
      </c>
      <c r="AE61" s="1">
        <v>1</v>
      </c>
      <c r="AF61" s="1">
        <v>1</v>
      </c>
      <c r="AG61" s="1">
        <v>1</v>
      </c>
      <c r="AH61" s="1">
        <v>0</v>
      </c>
      <c r="AI61" s="1">
        <v>1</v>
      </c>
      <c r="AJ61" s="1">
        <v>0</v>
      </c>
      <c r="AK61" s="1">
        <v>0</v>
      </c>
      <c r="AL61" s="1">
        <v>0</v>
      </c>
      <c r="AM61" s="1">
        <v>4</v>
      </c>
      <c r="AO61" s="1">
        <v>1</v>
      </c>
      <c r="AP61" s="1">
        <v>0</v>
      </c>
      <c r="AQ61" s="1">
        <v>0</v>
      </c>
      <c r="AS61" s="1">
        <v>1</v>
      </c>
      <c r="AT61" s="1">
        <v>1</v>
      </c>
      <c r="AU61" s="1">
        <v>0</v>
      </c>
      <c r="AV61" s="1">
        <v>0</v>
      </c>
      <c r="AW61" s="1">
        <v>0</v>
      </c>
      <c r="AX61" s="1">
        <v>0</v>
      </c>
      <c r="AY61" s="1">
        <v>2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3</v>
      </c>
      <c r="BG61" s="1" t="s">
        <v>224</v>
      </c>
      <c r="BH61" s="1" t="s">
        <v>210</v>
      </c>
      <c r="BO61" s="1" t="s">
        <v>233</v>
      </c>
      <c r="BR61" s="1">
        <v>1</v>
      </c>
      <c r="BS61" s="1">
        <v>0</v>
      </c>
      <c r="BT61" s="1">
        <v>0</v>
      </c>
      <c r="BU61" s="1">
        <v>0</v>
      </c>
      <c r="BV61" s="1">
        <v>0</v>
      </c>
      <c r="BW61" s="1">
        <v>1</v>
      </c>
      <c r="BX61" s="1">
        <v>0</v>
      </c>
      <c r="BZ61" s="1">
        <v>1</v>
      </c>
      <c r="CF61" s="1">
        <f t="shared" si="2"/>
        <v>0</v>
      </c>
      <c r="CH61" s="1">
        <v>2</v>
      </c>
      <c r="CO61" s="1">
        <v>2000</v>
      </c>
      <c r="CV61" s="1">
        <v>2</v>
      </c>
      <c r="DB61" s="7">
        <f t="shared" si="3"/>
        <v>1</v>
      </c>
      <c r="DC61" s="5">
        <f t="shared" si="4"/>
        <v>3</v>
      </c>
      <c r="DE61" s="1">
        <v>3000</v>
      </c>
      <c r="DL61" s="1">
        <v>3</v>
      </c>
      <c r="DR61" s="1">
        <f t="shared" si="5"/>
        <v>3</v>
      </c>
      <c r="DZ61" s="1">
        <f t="shared" si="6"/>
        <v>0</v>
      </c>
      <c r="EF61" s="1">
        <f t="shared" si="7"/>
        <v>0</v>
      </c>
      <c r="EH61" s="1">
        <v>0</v>
      </c>
      <c r="EN61" s="1">
        <f t="shared" si="8"/>
        <v>0</v>
      </c>
      <c r="EP61" s="1">
        <v>1</v>
      </c>
      <c r="EV61" s="1">
        <f t="shared" si="9"/>
        <v>1</v>
      </c>
      <c r="EX61" s="1">
        <v>1</v>
      </c>
      <c r="FE61" s="1">
        <v>1</v>
      </c>
      <c r="FK61" s="1">
        <f t="shared" si="10"/>
        <v>1</v>
      </c>
      <c r="FM61" s="1">
        <v>0</v>
      </c>
      <c r="FS61" s="1">
        <f t="shared" si="11"/>
        <v>0</v>
      </c>
      <c r="FU61" s="1">
        <v>1</v>
      </c>
      <c r="GA61" s="1">
        <f t="shared" si="12"/>
        <v>1</v>
      </c>
      <c r="GJ61" s="1">
        <v>0</v>
      </c>
      <c r="GP61" s="1">
        <f t="shared" si="13"/>
        <v>0</v>
      </c>
      <c r="GR61" s="1">
        <v>4000</v>
      </c>
      <c r="GX61" s="1">
        <f t="shared" si="14"/>
        <v>4</v>
      </c>
      <c r="GZ61" s="5">
        <v>1</v>
      </c>
      <c r="HF61" s="1">
        <f t="shared" si="15"/>
        <v>1</v>
      </c>
      <c r="HH61" s="1">
        <v>11</v>
      </c>
      <c r="HN61" s="1">
        <f t="shared" si="16"/>
        <v>11</v>
      </c>
      <c r="HP61" s="1">
        <v>0</v>
      </c>
      <c r="HV61" s="1">
        <f t="shared" si="17"/>
        <v>0</v>
      </c>
      <c r="IK61" s="1">
        <v>0</v>
      </c>
      <c r="IL61" s="1">
        <v>0</v>
      </c>
      <c r="IM61" s="1">
        <v>0</v>
      </c>
      <c r="IN61" s="1">
        <v>48</v>
      </c>
      <c r="IO61" s="1">
        <v>0</v>
      </c>
    </row>
    <row r="62" spans="1:249" x14ac:dyDescent="0.25">
      <c r="A62" s="1">
        <v>61</v>
      </c>
      <c r="B62" s="1" t="s">
        <v>237</v>
      </c>
      <c r="C62" s="1" t="s">
        <v>194</v>
      </c>
      <c r="D62" s="1" t="s">
        <v>277</v>
      </c>
      <c r="E62" s="1" t="s">
        <v>277</v>
      </c>
      <c r="F62" s="1">
        <v>0</v>
      </c>
      <c r="G62" s="1">
        <v>0</v>
      </c>
      <c r="H62" s="1">
        <v>1</v>
      </c>
      <c r="I62" s="1">
        <v>37</v>
      </c>
      <c r="J62" s="1">
        <v>1</v>
      </c>
      <c r="K62" s="1">
        <v>1</v>
      </c>
      <c r="M62" s="1">
        <v>1</v>
      </c>
      <c r="N62" s="1">
        <v>1</v>
      </c>
      <c r="O62" s="1">
        <v>3</v>
      </c>
      <c r="P62" s="1">
        <v>18</v>
      </c>
      <c r="Q62" s="1">
        <v>1000</v>
      </c>
      <c r="R62" s="1">
        <v>0</v>
      </c>
      <c r="T62" s="1">
        <v>0</v>
      </c>
      <c r="U62" s="1">
        <v>0</v>
      </c>
      <c r="V62" s="1">
        <v>1</v>
      </c>
      <c r="W62" s="1" t="s">
        <v>273</v>
      </c>
      <c r="X62" s="1">
        <v>5</v>
      </c>
      <c r="Y62" s="1">
        <f t="shared" si="0"/>
        <v>0</v>
      </c>
      <c r="Z62" s="1">
        <f t="shared" si="1"/>
        <v>1</v>
      </c>
      <c r="AA62" s="1">
        <v>11</v>
      </c>
      <c r="AC62" s="1">
        <v>0</v>
      </c>
      <c r="AD62" s="1">
        <v>0</v>
      </c>
      <c r="AE62" s="1">
        <v>1</v>
      </c>
      <c r="AF62" s="1">
        <v>1</v>
      </c>
      <c r="AG62" s="1">
        <v>1</v>
      </c>
      <c r="AH62" s="1">
        <v>0</v>
      </c>
      <c r="AI62" s="1">
        <v>1</v>
      </c>
      <c r="AJ62" s="1">
        <v>0</v>
      </c>
      <c r="AK62" s="1">
        <v>0</v>
      </c>
      <c r="AL62" s="1">
        <v>1</v>
      </c>
      <c r="AM62" s="1">
        <v>7</v>
      </c>
      <c r="AO62" s="1">
        <v>1</v>
      </c>
      <c r="AP62" s="1">
        <v>0</v>
      </c>
      <c r="AQ62" s="1">
        <v>0</v>
      </c>
      <c r="AS62" s="1">
        <v>1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1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3</v>
      </c>
      <c r="BG62" s="1" t="s">
        <v>224</v>
      </c>
      <c r="BR62" s="1">
        <v>0</v>
      </c>
      <c r="BS62" s="1">
        <v>0</v>
      </c>
      <c r="BT62" s="1">
        <v>0</v>
      </c>
      <c r="BU62" s="1">
        <v>1</v>
      </c>
      <c r="BV62" s="1">
        <v>1</v>
      </c>
      <c r="BW62" s="1">
        <v>1</v>
      </c>
      <c r="BX62" s="1">
        <v>0</v>
      </c>
      <c r="BZ62" s="1">
        <v>1</v>
      </c>
      <c r="CF62" s="1">
        <f t="shared" si="2"/>
        <v>0</v>
      </c>
      <c r="CH62" s="1">
        <v>1</v>
      </c>
      <c r="CO62" s="1">
        <v>400</v>
      </c>
      <c r="CV62" s="1">
        <v>1</v>
      </c>
      <c r="DB62" s="7">
        <f t="shared" si="3"/>
        <v>0.4</v>
      </c>
      <c r="DC62" s="5">
        <f t="shared" si="4"/>
        <v>1</v>
      </c>
      <c r="DE62" s="1">
        <v>3000</v>
      </c>
      <c r="DL62" s="1">
        <v>5</v>
      </c>
      <c r="DR62" s="1">
        <f t="shared" si="5"/>
        <v>5</v>
      </c>
      <c r="DT62" s="1">
        <v>1</v>
      </c>
      <c r="DZ62" s="1">
        <f t="shared" si="6"/>
        <v>1</v>
      </c>
      <c r="EF62" s="1">
        <f t="shared" si="7"/>
        <v>0</v>
      </c>
      <c r="EH62" s="1">
        <v>0</v>
      </c>
      <c r="EN62" s="1">
        <f t="shared" si="8"/>
        <v>0</v>
      </c>
      <c r="EP62" s="1">
        <v>0</v>
      </c>
      <c r="EV62" s="1">
        <f t="shared" si="9"/>
        <v>0</v>
      </c>
      <c r="EX62" s="1">
        <v>0</v>
      </c>
      <c r="FE62" s="1">
        <v>1</v>
      </c>
      <c r="FK62" s="1">
        <f t="shared" si="10"/>
        <v>1</v>
      </c>
      <c r="FM62" s="1">
        <v>0</v>
      </c>
      <c r="FS62" s="1">
        <f t="shared" si="11"/>
        <v>0</v>
      </c>
      <c r="FU62" s="1">
        <v>0</v>
      </c>
      <c r="GA62" s="1">
        <f t="shared" si="12"/>
        <v>0</v>
      </c>
      <c r="GJ62" s="1">
        <v>0</v>
      </c>
      <c r="GP62" s="1">
        <f t="shared" si="13"/>
        <v>0</v>
      </c>
      <c r="GR62" s="1">
        <v>3000</v>
      </c>
      <c r="GX62" s="1">
        <f t="shared" si="14"/>
        <v>3</v>
      </c>
      <c r="GZ62" s="5">
        <v>1</v>
      </c>
      <c r="HF62" s="1">
        <f t="shared" si="15"/>
        <v>1</v>
      </c>
      <c r="HH62" s="1">
        <v>12</v>
      </c>
      <c r="HN62" s="1">
        <f t="shared" si="16"/>
        <v>12</v>
      </c>
      <c r="HP62" s="1">
        <v>0</v>
      </c>
      <c r="HV62" s="1">
        <f t="shared" si="17"/>
        <v>0</v>
      </c>
      <c r="IK62" s="1">
        <v>0</v>
      </c>
      <c r="IL62" s="1">
        <v>40</v>
      </c>
      <c r="IM62" s="1">
        <v>8</v>
      </c>
      <c r="IN62" s="1">
        <v>40</v>
      </c>
      <c r="IO62" s="1">
        <v>0</v>
      </c>
    </row>
    <row r="63" spans="1:249" x14ac:dyDescent="0.25">
      <c r="A63" s="1">
        <v>62</v>
      </c>
      <c r="B63" s="1" t="s">
        <v>237</v>
      </c>
      <c r="C63" s="1" t="s">
        <v>194</v>
      </c>
      <c r="D63" s="1" t="s">
        <v>277</v>
      </c>
      <c r="E63" s="1" t="s">
        <v>277</v>
      </c>
      <c r="F63" s="1">
        <v>0</v>
      </c>
      <c r="G63" s="1">
        <v>0</v>
      </c>
      <c r="H63" s="1">
        <v>1</v>
      </c>
      <c r="I63" s="1">
        <v>35</v>
      </c>
      <c r="J63" s="1">
        <v>1</v>
      </c>
      <c r="K63" s="1">
        <v>1</v>
      </c>
      <c r="M63" s="1">
        <v>1</v>
      </c>
      <c r="N63" s="1">
        <v>1</v>
      </c>
      <c r="O63" s="1">
        <v>0</v>
      </c>
      <c r="P63" s="1">
        <v>20</v>
      </c>
      <c r="Q63" s="1">
        <v>700</v>
      </c>
      <c r="R63" s="1">
        <v>0</v>
      </c>
      <c r="T63" s="1">
        <v>0</v>
      </c>
      <c r="U63" s="1">
        <v>0</v>
      </c>
      <c r="V63" s="1">
        <v>1</v>
      </c>
      <c r="W63" s="1" t="s">
        <v>273</v>
      </c>
      <c r="X63" s="1">
        <v>5</v>
      </c>
      <c r="Y63" s="1">
        <f t="shared" si="0"/>
        <v>0</v>
      </c>
      <c r="Z63" s="1">
        <f t="shared" si="1"/>
        <v>1</v>
      </c>
      <c r="AA63" s="1">
        <v>11</v>
      </c>
      <c r="AC63" s="1">
        <v>0</v>
      </c>
      <c r="AD63" s="1">
        <v>0</v>
      </c>
      <c r="AE63" s="1">
        <v>1</v>
      </c>
      <c r="AF63" s="1">
        <v>1</v>
      </c>
      <c r="AG63" s="1">
        <v>1</v>
      </c>
      <c r="AH63" s="1">
        <v>0</v>
      </c>
      <c r="AI63" s="1">
        <v>1</v>
      </c>
      <c r="AJ63" s="1">
        <v>0</v>
      </c>
      <c r="AK63" s="1">
        <v>0</v>
      </c>
      <c r="AL63" s="1">
        <v>1</v>
      </c>
      <c r="AM63" s="1">
        <v>7</v>
      </c>
      <c r="AO63" s="1">
        <v>1</v>
      </c>
      <c r="AP63" s="1">
        <v>0</v>
      </c>
      <c r="AQ63" s="1">
        <v>0</v>
      </c>
      <c r="AS63" s="1">
        <v>1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1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2</v>
      </c>
      <c r="BG63" s="1" t="s">
        <v>224</v>
      </c>
      <c r="BR63" s="1">
        <v>0</v>
      </c>
      <c r="BS63" s="1">
        <v>0</v>
      </c>
      <c r="BT63" s="1">
        <v>0</v>
      </c>
      <c r="BU63" s="1">
        <v>1</v>
      </c>
      <c r="BV63" s="1">
        <v>1</v>
      </c>
      <c r="BW63" s="1">
        <v>1</v>
      </c>
      <c r="BX63" s="1">
        <v>0</v>
      </c>
      <c r="BZ63" s="1">
        <v>1</v>
      </c>
      <c r="CF63" s="1">
        <f t="shared" si="2"/>
        <v>0</v>
      </c>
      <c r="CH63" s="1">
        <v>1</v>
      </c>
      <c r="CO63" s="1">
        <v>700</v>
      </c>
      <c r="CV63" s="1">
        <v>1</v>
      </c>
      <c r="DB63" s="7">
        <f t="shared" si="3"/>
        <v>0.7</v>
      </c>
      <c r="DC63" s="5">
        <f t="shared" si="4"/>
        <v>2</v>
      </c>
      <c r="DE63" s="1">
        <v>3000</v>
      </c>
      <c r="DL63" s="1">
        <v>7</v>
      </c>
      <c r="DR63" s="1">
        <f t="shared" si="5"/>
        <v>7</v>
      </c>
      <c r="DT63" s="1">
        <v>1</v>
      </c>
      <c r="DZ63" s="1">
        <f t="shared" si="6"/>
        <v>1</v>
      </c>
      <c r="ED63" s="1">
        <v>1</v>
      </c>
      <c r="EF63" s="1">
        <f t="shared" si="7"/>
        <v>1</v>
      </c>
      <c r="EH63" s="1">
        <v>0</v>
      </c>
      <c r="EN63" s="1">
        <f t="shared" si="8"/>
        <v>0</v>
      </c>
      <c r="EP63" s="1">
        <v>0</v>
      </c>
      <c r="EV63" s="1">
        <f t="shared" si="9"/>
        <v>0</v>
      </c>
      <c r="EX63" s="1">
        <v>0</v>
      </c>
      <c r="FE63" s="1">
        <v>1</v>
      </c>
      <c r="FK63" s="1">
        <f t="shared" si="10"/>
        <v>1</v>
      </c>
      <c r="FM63" s="1">
        <v>0</v>
      </c>
      <c r="FS63" s="1">
        <f t="shared" si="11"/>
        <v>0</v>
      </c>
      <c r="FU63" s="1">
        <v>0</v>
      </c>
      <c r="GA63" s="1">
        <f t="shared" si="12"/>
        <v>0</v>
      </c>
      <c r="GJ63" s="1">
        <v>0</v>
      </c>
      <c r="GP63" s="1">
        <f t="shared" si="13"/>
        <v>0</v>
      </c>
      <c r="GR63" s="1">
        <v>3000</v>
      </c>
      <c r="GX63" s="1">
        <f t="shared" si="14"/>
        <v>3</v>
      </c>
      <c r="GZ63" s="5">
        <v>1</v>
      </c>
      <c r="HF63" s="1">
        <f t="shared" si="15"/>
        <v>1</v>
      </c>
      <c r="HH63" s="1">
        <v>11</v>
      </c>
      <c r="HN63" s="1">
        <f t="shared" si="16"/>
        <v>11</v>
      </c>
      <c r="HP63" s="1">
        <v>0</v>
      </c>
      <c r="HV63" s="1">
        <f t="shared" si="17"/>
        <v>0</v>
      </c>
      <c r="IK63" s="1">
        <v>0</v>
      </c>
      <c r="IL63" s="1">
        <v>0</v>
      </c>
      <c r="IM63" s="1">
        <v>0</v>
      </c>
      <c r="IN63" s="1">
        <v>40</v>
      </c>
      <c r="IO63" s="1">
        <v>0</v>
      </c>
    </row>
    <row r="64" spans="1:249" x14ac:dyDescent="0.25">
      <c r="A64" s="1">
        <v>63</v>
      </c>
      <c r="B64" s="1" t="s">
        <v>237</v>
      </c>
      <c r="C64" s="1" t="s">
        <v>194</v>
      </c>
      <c r="D64" s="1" t="s">
        <v>277</v>
      </c>
      <c r="E64" s="1" t="s">
        <v>277</v>
      </c>
      <c r="F64" s="1">
        <v>0</v>
      </c>
      <c r="G64" s="1">
        <v>0</v>
      </c>
      <c r="H64" s="1">
        <v>1</v>
      </c>
      <c r="I64" s="1">
        <v>58</v>
      </c>
      <c r="J64" s="1">
        <v>1</v>
      </c>
      <c r="K64" s="1">
        <v>1</v>
      </c>
      <c r="M64" s="1">
        <v>1</v>
      </c>
      <c r="N64" s="1">
        <v>0</v>
      </c>
      <c r="O64" s="1">
        <v>2</v>
      </c>
      <c r="P64" s="1">
        <v>15</v>
      </c>
      <c r="Q64" s="1">
        <v>700</v>
      </c>
      <c r="R64" s="1">
        <v>0</v>
      </c>
      <c r="T64" s="1">
        <v>0</v>
      </c>
      <c r="U64" s="1">
        <v>0</v>
      </c>
      <c r="V64" s="1">
        <v>1</v>
      </c>
      <c r="W64" s="1" t="s">
        <v>273</v>
      </c>
      <c r="X64" s="1">
        <v>5</v>
      </c>
      <c r="Y64" s="1">
        <f t="shared" si="0"/>
        <v>0</v>
      </c>
      <c r="Z64" s="1">
        <f t="shared" si="1"/>
        <v>1</v>
      </c>
      <c r="AA64" s="1">
        <v>11</v>
      </c>
      <c r="AC64" s="1">
        <v>0</v>
      </c>
      <c r="AD64" s="1">
        <v>0</v>
      </c>
      <c r="AE64" s="1">
        <v>1</v>
      </c>
      <c r="AF64" s="1">
        <v>1</v>
      </c>
      <c r="AG64" s="1">
        <v>1</v>
      </c>
      <c r="AH64" s="1">
        <v>0</v>
      </c>
      <c r="AI64" s="1">
        <v>1</v>
      </c>
      <c r="AJ64" s="1">
        <v>0</v>
      </c>
      <c r="AK64" s="1">
        <v>0</v>
      </c>
      <c r="AL64" s="1">
        <v>1</v>
      </c>
      <c r="AM64" s="1">
        <v>7</v>
      </c>
      <c r="AO64" s="1">
        <v>1</v>
      </c>
      <c r="AP64" s="1">
        <v>0</v>
      </c>
      <c r="AQ64" s="1">
        <v>0</v>
      </c>
      <c r="AS64" s="1">
        <v>1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2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3</v>
      </c>
      <c r="BG64" s="1" t="s">
        <v>224</v>
      </c>
      <c r="BR64" s="1">
        <v>0</v>
      </c>
      <c r="BS64" s="1">
        <v>0</v>
      </c>
      <c r="BT64" s="1">
        <v>0</v>
      </c>
      <c r="BU64" s="1">
        <v>1</v>
      </c>
      <c r="BV64" s="1">
        <v>0</v>
      </c>
      <c r="BW64" s="1">
        <v>1</v>
      </c>
      <c r="BX64" s="1">
        <v>0</v>
      </c>
      <c r="BZ64" s="1">
        <v>1</v>
      </c>
      <c r="CA64" s="1">
        <v>1</v>
      </c>
      <c r="CF64" s="1">
        <f t="shared" si="2"/>
        <v>1</v>
      </c>
      <c r="CH64" s="1">
        <v>1</v>
      </c>
      <c r="CI64" s="1">
        <v>1</v>
      </c>
      <c r="CO64" s="1">
        <v>750</v>
      </c>
      <c r="CP64" s="1">
        <v>400</v>
      </c>
      <c r="CV64" s="1">
        <v>1</v>
      </c>
      <c r="CW64" s="1">
        <v>1</v>
      </c>
      <c r="DB64" s="7">
        <f t="shared" si="3"/>
        <v>0.57499999999999996</v>
      </c>
      <c r="DC64" s="5">
        <f t="shared" si="4"/>
        <v>1</v>
      </c>
      <c r="DE64" s="1">
        <v>3000</v>
      </c>
      <c r="DF64" s="1">
        <v>3000</v>
      </c>
      <c r="DL64" s="1">
        <v>6</v>
      </c>
      <c r="DM64" s="1">
        <v>8</v>
      </c>
      <c r="DR64" s="1">
        <f t="shared" si="5"/>
        <v>8</v>
      </c>
      <c r="DT64" s="1">
        <v>1</v>
      </c>
      <c r="DU64" s="1">
        <v>1</v>
      </c>
      <c r="DZ64" s="1">
        <f t="shared" si="6"/>
        <v>1</v>
      </c>
      <c r="ED64" s="1">
        <v>1</v>
      </c>
      <c r="EF64" s="1">
        <f t="shared" si="7"/>
        <v>1</v>
      </c>
      <c r="EH64" s="1">
        <v>0</v>
      </c>
      <c r="EI64" s="1">
        <v>0</v>
      </c>
      <c r="EN64" s="1">
        <f t="shared" si="8"/>
        <v>0</v>
      </c>
      <c r="EP64" s="1">
        <v>0</v>
      </c>
      <c r="EQ64" s="1">
        <v>0</v>
      </c>
      <c r="EV64" s="1">
        <f t="shared" si="9"/>
        <v>0</v>
      </c>
      <c r="EX64" s="1">
        <v>0</v>
      </c>
      <c r="EY64" s="1">
        <v>0</v>
      </c>
      <c r="FE64" s="1">
        <v>1</v>
      </c>
      <c r="FF64" s="1">
        <v>1</v>
      </c>
      <c r="FK64" s="1">
        <f t="shared" si="10"/>
        <v>1</v>
      </c>
      <c r="FM64" s="1">
        <v>0</v>
      </c>
      <c r="FN64" s="1">
        <v>0</v>
      </c>
      <c r="FS64" s="1">
        <f t="shared" si="11"/>
        <v>0</v>
      </c>
      <c r="FU64" s="1">
        <v>1</v>
      </c>
      <c r="FV64" s="1">
        <v>1</v>
      </c>
      <c r="GA64" s="1">
        <f t="shared" si="12"/>
        <v>1</v>
      </c>
      <c r="GC64" s="1" t="s">
        <v>280</v>
      </c>
      <c r="GD64" s="1" t="s">
        <v>280</v>
      </c>
      <c r="GJ64" s="1">
        <v>0</v>
      </c>
      <c r="GK64" s="1">
        <v>0</v>
      </c>
      <c r="GP64" s="1">
        <f t="shared" si="13"/>
        <v>0</v>
      </c>
      <c r="GR64" s="1">
        <v>3500</v>
      </c>
      <c r="GS64" s="1">
        <v>2500</v>
      </c>
      <c r="GX64" s="1">
        <f t="shared" si="14"/>
        <v>6</v>
      </c>
      <c r="GZ64" s="5">
        <v>1</v>
      </c>
      <c r="HA64" s="1">
        <v>1</v>
      </c>
      <c r="HF64" s="1">
        <f t="shared" si="15"/>
        <v>1</v>
      </c>
      <c r="HH64" s="1">
        <v>11</v>
      </c>
      <c r="HI64" s="1">
        <v>11</v>
      </c>
      <c r="HN64" s="1">
        <f t="shared" si="16"/>
        <v>11</v>
      </c>
      <c r="HP64" s="1">
        <v>0</v>
      </c>
      <c r="HQ64" s="1">
        <v>0</v>
      </c>
      <c r="HV64" s="1">
        <f t="shared" si="17"/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</row>
    <row r="65" spans="1:249" x14ac:dyDescent="0.25">
      <c r="A65" s="1">
        <v>64</v>
      </c>
      <c r="B65" s="1" t="s">
        <v>237</v>
      </c>
      <c r="C65" s="1" t="s">
        <v>235</v>
      </c>
      <c r="D65" s="1" t="s">
        <v>236</v>
      </c>
      <c r="E65" s="1" t="s">
        <v>236</v>
      </c>
      <c r="F65" s="1">
        <v>0</v>
      </c>
      <c r="G65" s="1">
        <v>1</v>
      </c>
      <c r="H65" s="1">
        <v>0</v>
      </c>
      <c r="I65" s="1">
        <v>26</v>
      </c>
      <c r="J65" s="1">
        <v>1</v>
      </c>
      <c r="K65" s="1">
        <v>1</v>
      </c>
      <c r="M65" s="1">
        <v>0</v>
      </c>
      <c r="N65" s="1">
        <v>0</v>
      </c>
      <c r="O65" s="1">
        <v>3</v>
      </c>
      <c r="P65" s="1">
        <v>26</v>
      </c>
      <c r="Q65" s="1">
        <v>800</v>
      </c>
      <c r="R65" s="1">
        <v>0</v>
      </c>
      <c r="T65" s="1">
        <v>1</v>
      </c>
      <c r="U65" s="1">
        <v>400</v>
      </c>
      <c r="V65" s="1">
        <v>0</v>
      </c>
      <c r="X65" s="1">
        <v>5</v>
      </c>
      <c r="Y65" s="1">
        <f t="shared" si="0"/>
        <v>0</v>
      </c>
      <c r="Z65" s="1">
        <f t="shared" si="1"/>
        <v>1</v>
      </c>
      <c r="AA65" s="1">
        <v>11</v>
      </c>
      <c r="AC65" s="1">
        <v>1</v>
      </c>
      <c r="AD65" s="1">
        <v>1</v>
      </c>
      <c r="AE65" s="1">
        <v>1</v>
      </c>
      <c r="AF65" s="1">
        <v>1</v>
      </c>
      <c r="AG65" s="1">
        <v>1</v>
      </c>
      <c r="AH65" s="1">
        <v>1</v>
      </c>
      <c r="AI65" s="1">
        <v>1</v>
      </c>
      <c r="AJ65" s="1">
        <v>0</v>
      </c>
      <c r="AK65" s="1">
        <v>0</v>
      </c>
      <c r="AL65" s="1">
        <v>1</v>
      </c>
      <c r="AM65" s="1">
        <v>6</v>
      </c>
      <c r="AO65" s="1">
        <v>1</v>
      </c>
      <c r="AP65" s="1">
        <v>0</v>
      </c>
      <c r="AQ65" s="1">
        <v>0</v>
      </c>
      <c r="AS65" s="1">
        <v>1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1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G65" s="1" t="s">
        <v>224</v>
      </c>
      <c r="BR65" s="1">
        <v>0</v>
      </c>
      <c r="BS65" s="1">
        <v>0</v>
      </c>
      <c r="BT65" s="1">
        <v>0</v>
      </c>
      <c r="BU65" s="1">
        <v>1</v>
      </c>
      <c r="BV65" s="1">
        <v>1</v>
      </c>
      <c r="BW65" s="1">
        <v>1</v>
      </c>
      <c r="BX65" s="1">
        <v>0</v>
      </c>
      <c r="BZ65" s="1">
        <v>1</v>
      </c>
      <c r="CF65" s="1">
        <f t="shared" si="2"/>
        <v>0</v>
      </c>
      <c r="CH65" s="1">
        <v>1</v>
      </c>
      <c r="CO65" s="1">
        <v>1000</v>
      </c>
      <c r="CV65" s="1">
        <v>1</v>
      </c>
      <c r="DB65" s="7">
        <f t="shared" si="3"/>
        <v>1</v>
      </c>
      <c r="DC65" s="5">
        <f t="shared" si="4"/>
        <v>3</v>
      </c>
      <c r="DE65" s="1">
        <v>3000</v>
      </c>
      <c r="DL65" s="1">
        <v>6</v>
      </c>
      <c r="DR65" s="1">
        <f t="shared" si="5"/>
        <v>6</v>
      </c>
      <c r="DT65" s="1">
        <v>1</v>
      </c>
      <c r="DZ65" s="1">
        <f t="shared" si="6"/>
        <v>1</v>
      </c>
      <c r="EC65" s="1">
        <v>1</v>
      </c>
      <c r="EF65" s="1">
        <f t="shared" si="7"/>
        <v>1</v>
      </c>
      <c r="EH65" s="1">
        <v>0</v>
      </c>
      <c r="EN65" s="1">
        <f t="shared" si="8"/>
        <v>0</v>
      </c>
      <c r="EP65" s="1">
        <v>1</v>
      </c>
      <c r="EV65" s="1">
        <f t="shared" si="9"/>
        <v>1</v>
      </c>
      <c r="EX65" s="1">
        <v>1</v>
      </c>
      <c r="FE65" s="1">
        <v>1</v>
      </c>
      <c r="FK65" s="1">
        <f t="shared" si="10"/>
        <v>1</v>
      </c>
      <c r="FM65" s="1">
        <v>0</v>
      </c>
      <c r="FS65" s="1">
        <f t="shared" si="11"/>
        <v>0</v>
      </c>
      <c r="FU65" s="1">
        <v>0</v>
      </c>
      <c r="GA65" s="1">
        <f t="shared" si="12"/>
        <v>0</v>
      </c>
      <c r="GJ65" s="1">
        <v>0</v>
      </c>
      <c r="GP65" s="1">
        <f t="shared" si="13"/>
        <v>0</v>
      </c>
      <c r="GR65" s="1">
        <v>3500</v>
      </c>
      <c r="GX65" s="1">
        <f t="shared" si="14"/>
        <v>3.5</v>
      </c>
      <c r="GZ65" s="5">
        <v>1</v>
      </c>
      <c r="HF65" s="1">
        <f t="shared" si="15"/>
        <v>1</v>
      </c>
      <c r="HH65" s="1">
        <v>11</v>
      </c>
      <c r="HN65" s="1">
        <f t="shared" si="16"/>
        <v>11</v>
      </c>
      <c r="HP65" s="1">
        <v>0</v>
      </c>
      <c r="HV65" s="1">
        <f t="shared" si="17"/>
        <v>0</v>
      </c>
      <c r="IK65" s="1">
        <v>0</v>
      </c>
      <c r="IL65" s="1">
        <v>40</v>
      </c>
      <c r="IM65" s="1">
        <v>8</v>
      </c>
      <c r="IN65" s="1">
        <v>40</v>
      </c>
      <c r="IO65" s="1">
        <v>0</v>
      </c>
    </row>
    <row r="66" spans="1:249" x14ac:dyDescent="0.25">
      <c r="A66" s="1">
        <v>65</v>
      </c>
      <c r="B66" s="1" t="s">
        <v>237</v>
      </c>
      <c r="C66" s="1" t="s">
        <v>194</v>
      </c>
      <c r="D66" s="1" t="s">
        <v>195</v>
      </c>
      <c r="E66" s="1" t="s">
        <v>195</v>
      </c>
      <c r="F66" s="1">
        <v>0</v>
      </c>
      <c r="G66" s="1">
        <v>1</v>
      </c>
      <c r="H66" s="1">
        <v>0</v>
      </c>
      <c r="I66" s="1">
        <v>47</v>
      </c>
      <c r="J66" s="1">
        <v>1</v>
      </c>
      <c r="K66" s="1">
        <v>1</v>
      </c>
      <c r="M66" s="1">
        <v>0</v>
      </c>
      <c r="N66" s="1">
        <v>1</v>
      </c>
      <c r="O66" s="1">
        <v>4</v>
      </c>
      <c r="P66" s="1">
        <v>47</v>
      </c>
      <c r="Q66" s="1">
        <v>1500</v>
      </c>
      <c r="R66" s="1">
        <v>1</v>
      </c>
      <c r="S66" s="1" t="s">
        <v>309</v>
      </c>
      <c r="T66" s="1">
        <v>1</v>
      </c>
      <c r="U66" s="1">
        <v>350</v>
      </c>
      <c r="V66" s="1">
        <v>0</v>
      </c>
      <c r="X66" s="1">
        <v>3</v>
      </c>
      <c r="Y66" s="1">
        <f t="shared" si="0"/>
        <v>1</v>
      </c>
      <c r="Z66" s="1">
        <f t="shared" si="1"/>
        <v>0</v>
      </c>
      <c r="AA66" s="1">
        <v>6</v>
      </c>
      <c r="AC66" s="1">
        <v>0</v>
      </c>
      <c r="AD66" s="1">
        <v>0</v>
      </c>
      <c r="AE66" s="1">
        <v>1</v>
      </c>
      <c r="AF66" s="1">
        <v>1</v>
      </c>
      <c r="AG66" s="1">
        <v>1</v>
      </c>
      <c r="AH66" s="1">
        <v>1</v>
      </c>
      <c r="AI66" s="1">
        <v>0</v>
      </c>
      <c r="AJ66" s="1">
        <v>0</v>
      </c>
      <c r="AK66" s="1">
        <v>0</v>
      </c>
      <c r="AL66" s="1">
        <v>0</v>
      </c>
      <c r="AM66" s="1">
        <v>7</v>
      </c>
      <c r="AO66" s="1">
        <v>1</v>
      </c>
      <c r="AP66" s="1">
        <v>0</v>
      </c>
      <c r="AQ66" s="1">
        <v>0</v>
      </c>
      <c r="AS66" s="1">
        <v>1</v>
      </c>
      <c r="AT66" s="1">
        <v>1</v>
      </c>
      <c r="AU66" s="1">
        <v>0</v>
      </c>
      <c r="AV66" s="1">
        <v>0</v>
      </c>
      <c r="AW66" s="1">
        <v>0</v>
      </c>
      <c r="AX66" s="1">
        <v>0</v>
      </c>
      <c r="AY66" s="1">
        <v>2</v>
      </c>
      <c r="AZ66" s="1">
        <v>1</v>
      </c>
      <c r="BA66" s="1">
        <v>0</v>
      </c>
      <c r="BB66" s="1">
        <v>0</v>
      </c>
      <c r="BC66" s="1">
        <v>0</v>
      </c>
      <c r="BD66" s="1">
        <v>0</v>
      </c>
      <c r="BE66" s="1">
        <v>7</v>
      </c>
      <c r="BG66" s="1" t="s">
        <v>224</v>
      </c>
      <c r="BH66" s="1" t="s">
        <v>225</v>
      </c>
      <c r="BO66" s="1" t="s">
        <v>233</v>
      </c>
      <c r="BR66" s="1">
        <v>1</v>
      </c>
      <c r="BS66" s="1">
        <v>0</v>
      </c>
      <c r="BT66" s="1">
        <v>0</v>
      </c>
      <c r="BU66" s="1">
        <v>1</v>
      </c>
      <c r="BV66" s="1">
        <v>0</v>
      </c>
      <c r="BW66" s="1">
        <v>1</v>
      </c>
      <c r="BX66" s="1">
        <v>0</v>
      </c>
      <c r="BZ66" s="1">
        <v>1</v>
      </c>
      <c r="CF66" s="1">
        <f t="shared" si="2"/>
        <v>0</v>
      </c>
      <c r="CH66" s="1">
        <v>2</v>
      </c>
      <c r="CO66" s="1">
        <v>2100</v>
      </c>
      <c r="CV66" s="1">
        <v>2</v>
      </c>
      <c r="DB66" s="7">
        <f t="shared" si="3"/>
        <v>1.05</v>
      </c>
      <c r="DC66" s="5">
        <f t="shared" si="4"/>
        <v>3</v>
      </c>
      <c r="DE66" s="1">
        <v>3000</v>
      </c>
      <c r="DL66" s="1">
        <v>5</v>
      </c>
      <c r="DR66" s="1">
        <f t="shared" si="5"/>
        <v>5</v>
      </c>
      <c r="DZ66" s="1">
        <f t="shared" si="6"/>
        <v>0</v>
      </c>
      <c r="EC66" s="1">
        <v>1</v>
      </c>
      <c r="EF66" s="1">
        <f t="shared" si="7"/>
        <v>1</v>
      </c>
      <c r="EH66" s="1">
        <v>0</v>
      </c>
      <c r="EN66" s="1">
        <f t="shared" si="8"/>
        <v>0</v>
      </c>
      <c r="EP66" s="1">
        <v>1</v>
      </c>
      <c r="EV66" s="1">
        <f t="shared" si="9"/>
        <v>1</v>
      </c>
      <c r="EX66" s="1">
        <v>1</v>
      </c>
      <c r="FE66" s="1">
        <v>1</v>
      </c>
      <c r="FK66" s="1">
        <f t="shared" si="10"/>
        <v>1</v>
      </c>
      <c r="FM66" s="1">
        <v>0</v>
      </c>
      <c r="FS66" s="1">
        <f t="shared" si="11"/>
        <v>0</v>
      </c>
      <c r="FU66" s="1">
        <v>0</v>
      </c>
      <c r="GA66" s="1">
        <f t="shared" si="12"/>
        <v>0</v>
      </c>
      <c r="GJ66" s="1">
        <v>0</v>
      </c>
      <c r="GP66" s="1">
        <f t="shared" si="13"/>
        <v>0</v>
      </c>
      <c r="GR66" s="1">
        <v>3000</v>
      </c>
      <c r="GX66" s="1">
        <f t="shared" si="14"/>
        <v>3</v>
      </c>
      <c r="GZ66" s="5">
        <v>1</v>
      </c>
      <c r="HF66" s="1">
        <f t="shared" si="15"/>
        <v>1</v>
      </c>
      <c r="HH66" s="1">
        <v>11.4</v>
      </c>
      <c r="HN66" s="1">
        <f t="shared" si="16"/>
        <v>11.4</v>
      </c>
      <c r="HP66" s="1">
        <v>0</v>
      </c>
      <c r="HV66" s="1">
        <f t="shared" si="17"/>
        <v>0</v>
      </c>
      <c r="IK66" s="1">
        <v>0</v>
      </c>
      <c r="IL66" s="1">
        <v>80</v>
      </c>
      <c r="IM66" s="1">
        <v>0</v>
      </c>
      <c r="IN66" s="1">
        <v>80</v>
      </c>
      <c r="IO66" s="1">
        <v>0</v>
      </c>
    </row>
    <row r="67" spans="1:249" x14ac:dyDescent="0.25">
      <c r="A67" s="1">
        <v>66</v>
      </c>
      <c r="B67" s="1" t="s">
        <v>237</v>
      </c>
      <c r="C67" s="1" t="s">
        <v>194</v>
      </c>
      <c r="D67" s="1" t="s">
        <v>219</v>
      </c>
      <c r="E67" s="1" t="s">
        <v>232</v>
      </c>
      <c r="F67" s="1">
        <v>0</v>
      </c>
      <c r="G67" s="1">
        <v>0</v>
      </c>
      <c r="H67" s="1">
        <v>1</v>
      </c>
      <c r="I67" s="1">
        <v>38</v>
      </c>
      <c r="J67" s="1">
        <v>0</v>
      </c>
      <c r="K67" s="1">
        <v>0</v>
      </c>
      <c r="L67" s="1">
        <v>1</v>
      </c>
      <c r="M67" s="1">
        <v>1</v>
      </c>
      <c r="N67" s="1">
        <v>1</v>
      </c>
      <c r="O67" s="1">
        <v>6</v>
      </c>
      <c r="P67" s="1">
        <v>16</v>
      </c>
      <c r="Q67" s="1">
        <v>800</v>
      </c>
      <c r="R67" s="1">
        <v>1</v>
      </c>
      <c r="S67" s="1" t="s">
        <v>309</v>
      </c>
      <c r="T67" s="1">
        <v>1</v>
      </c>
      <c r="U67" s="1">
        <v>300</v>
      </c>
      <c r="V67" s="1">
        <v>1</v>
      </c>
      <c r="W67" s="1" t="s">
        <v>278</v>
      </c>
      <c r="X67" s="1">
        <v>2</v>
      </c>
      <c r="Y67" s="1">
        <f t="shared" ref="Y67:Y130" si="18">IF(X67=2,1,IF(X67=3,1,0))</f>
        <v>1</v>
      </c>
      <c r="Z67" s="1">
        <f t="shared" ref="Z67:Z130" si="19">IF(X67=4,1,IF(X67=5,1,0))</f>
        <v>0</v>
      </c>
      <c r="AA67" s="1">
        <v>6</v>
      </c>
      <c r="AC67" s="1">
        <v>0</v>
      </c>
      <c r="AD67" s="1">
        <v>0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0</v>
      </c>
      <c r="AK67" s="1">
        <v>0</v>
      </c>
      <c r="AL67" s="1">
        <v>1</v>
      </c>
      <c r="AM67" s="1">
        <v>7</v>
      </c>
      <c r="AO67" s="1">
        <v>1</v>
      </c>
      <c r="AP67" s="1">
        <v>0</v>
      </c>
      <c r="AQ67" s="1">
        <v>0</v>
      </c>
      <c r="AS67" s="1">
        <v>1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1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G67" s="1" t="s">
        <v>224</v>
      </c>
      <c r="BH67" s="1" t="s">
        <v>210</v>
      </c>
      <c r="BI67" s="1" t="s">
        <v>260</v>
      </c>
      <c r="BR67" s="1">
        <v>1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Z67" s="1">
        <v>1</v>
      </c>
      <c r="CF67" s="1">
        <f t="shared" ref="CF67:CF130" si="20">IF(SUM(BZ67:CE67)=1,0,1)</f>
        <v>0</v>
      </c>
      <c r="CH67" s="1">
        <v>1</v>
      </c>
      <c r="CO67" s="1">
        <v>1000</v>
      </c>
      <c r="CV67" s="1">
        <v>1</v>
      </c>
      <c r="DB67" s="7">
        <f t="shared" ref="DB67:DB130" si="21">(SUM(CO67:CT67)/SUM(CV67:DA67))/1000</f>
        <v>1</v>
      </c>
      <c r="DC67" s="5">
        <f t="shared" ref="DC67:DC130" si="22">IF(DB67&lt;=0.6,1,IF(DB67&lt;=0.8,2,3))</f>
        <v>3</v>
      </c>
      <c r="DE67" s="1">
        <v>3300</v>
      </c>
      <c r="DL67" s="1">
        <v>7</v>
      </c>
      <c r="DR67" s="1">
        <f t="shared" ref="DR67:DR130" si="23">MAX(DL67:DQ67)</f>
        <v>7</v>
      </c>
      <c r="DT67" s="1">
        <v>1</v>
      </c>
      <c r="DZ67" s="1">
        <f t="shared" ref="DZ67:DZ130" si="24">IF(SUM(DT67:DY67)=0,0,1)</f>
        <v>1</v>
      </c>
      <c r="EB67" s="1">
        <v>1</v>
      </c>
      <c r="EF67" s="1">
        <f t="shared" ref="EF67:EF130" si="25">IF(SUM(EB67:EE67)=0,0,1)</f>
        <v>1</v>
      </c>
      <c r="EH67" s="1">
        <v>0</v>
      </c>
      <c r="EN67" s="1">
        <f t="shared" ref="EN67:EN130" si="26">IF(SUM(EH67:EM67)=0,0,1)</f>
        <v>0</v>
      </c>
      <c r="EP67" s="1">
        <v>0</v>
      </c>
      <c r="EV67" s="1">
        <f t="shared" ref="EV67:EV130" si="27">IF(SUM(EP67:EU67)=0,0,1)</f>
        <v>0</v>
      </c>
      <c r="EX67" s="1">
        <v>1</v>
      </c>
      <c r="FE67" s="1">
        <v>0</v>
      </c>
      <c r="FK67" s="1">
        <f t="shared" ref="FK67:FK130" si="28">IF(SUM(FE67:FJ67)=0,0,1)</f>
        <v>0</v>
      </c>
      <c r="FM67" s="1">
        <v>0</v>
      </c>
      <c r="FS67" s="1">
        <f t="shared" ref="FS67:FS130" si="29">IF(SUM(FM67:FR67)=0,0,1)</f>
        <v>0</v>
      </c>
      <c r="FU67" s="1">
        <v>1</v>
      </c>
      <c r="GA67" s="1">
        <f t="shared" ref="GA67:GA130" si="30">IF(SUM(FU67:FZ67)=0,0,1)</f>
        <v>1</v>
      </c>
      <c r="GC67" s="1" t="s">
        <v>231</v>
      </c>
      <c r="GJ67" s="1">
        <v>0</v>
      </c>
      <c r="GP67" s="1">
        <f t="shared" ref="GP67:GP130" si="31">SUM(GJ67:GO67)</f>
        <v>0</v>
      </c>
      <c r="GR67" s="1">
        <v>400</v>
      </c>
      <c r="GX67" s="1">
        <f t="shared" ref="GX67:GX130" si="32">SUM(GR67:GW67)/1000</f>
        <v>0.4</v>
      </c>
      <c r="GZ67" s="5">
        <v>1</v>
      </c>
      <c r="HF67" s="1">
        <f t="shared" ref="HF67:HF130" si="33">IF(SUM(GZ67:HE67)&gt;=1,1,0)</f>
        <v>1</v>
      </c>
      <c r="HH67" s="1">
        <v>13</v>
      </c>
      <c r="HN67" s="1">
        <f t="shared" ref="HN67:HN130" si="34">AVERAGE(HH67:HM67)</f>
        <v>13</v>
      </c>
      <c r="HP67" s="1">
        <v>0</v>
      </c>
      <c r="HV67" s="1">
        <f t="shared" ref="HV67:HV130" si="35">IF(SUM(HP67:HU67)&gt;=1,1,0)</f>
        <v>0</v>
      </c>
      <c r="IE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</row>
    <row r="68" spans="1:249" x14ac:dyDescent="0.25">
      <c r="A68" s="1">
        <v>67</v>
      </c>
      <c r="B68" s="1" t="s">
        <v>237</v>
      </c>
      <c r="C68" s="1" t="s">
        <v>194</v>
      </c>
      <c r="D68" s="1" t="s">
        <v>222</v>
      </c>
      <c r="E68" s="1" t="s">
        <v>229</v>
      </c>
      <c r="F68" s="1">
        <v>0</v>
      </c>
      <c r="G68" s="1">
        <v>0</v>
      </c>
      <c r="H68" s="1">
        <v>1</v>
      </c>
      <c r="I68" s="1">
        <v>58</v>
      </c>
      <c r="J68" s="1">
        <v>1</v>
      </c>
      <c r="K68" s="1">
        <v>1</v>
      </c>
      <c r="M68" s="1">
        <v>1</v>
      </c>
      <c r="N68" s="1">
        <v>1</v>
      </c>
      <c r="O68" s="1">
        <v>4</v>
      </c>
      <c r="P68" s="1">
        <v>50</v>
      </c>
      <c r="Q68" s="1">
        <v>700</v>
      </c>
      <c r="R68" s="1">
        <v>1</v>
      </c>
      <c r="S68" s="1" t="s">
        <v>257</v>
      </c>
      <c r="T68" s="1">
        <v>1</v>
      </c>
      <c r="U68" s="1">
        <v>300</v>
      </c>
      <c r="V68" s="1">
        <v>1</v>
      </c>
      <c r="W68" s="1" t="s">
        <v>240</v>
      </c>
      <c r="X68" s="1">
        <v>4</v>
      </c>
      <c r="Y68" s="1">
        <f t="shared" si="18"/>
        <v>0</v>
      </c>
      <c r="Z68" s="1">
        <f t="shared" si="19"/>
        <v>1</v>
      </c>
      <c r="AA68" s="1">
        <v>8</v>
      </c>
      <c r="AC68" s="1">
        <v>0</v>
      </c>
      <c r="AD68" s="1">
        <v>0</v>
      </c>
      <c r="AE68" s="1">
        <v>1</v>
      </c>
      <c r="AF68" s="1">
        <v>1</v>
      </c>
      <c r="AG68" s="1">
        <v>1</v>
      </c>
      <c r="AH68" s="1">
        <v>0</v>
      </c>
      <c r="AI68" s="1">
        <v>1</v>
      </c>
      <c r="AJ68" s="1">
        <v>0</v>
      </c>
      <c r="AK68" s="1">
        <v>1</v>
      </c>
      <c r="AL68" s="1">
        <v>0</v>
      </c>
      <c r="AM68" s="1">
        <v>4</v>
      </c>
      <c r="AO68" s="1">
        <v>1</v>
      </c>
      <c r="AP68" s="1">
        <v>0</v>
      </c>
      <c r="AQ68" s="1">
        <v>0</v>
      </c>
      <c r="AS68" s="1">
        <v>1</v>
      </c>
      <c r="AT68" s="1">
        <v>1</v>
      </c>
      <c r="AU68" s="1">
        <v>0</v>
      </c>
      <c r="AV68" s="1">
        <v>0</v>
      </c>
      <c r="AW68" s="1">
        <v>0</v>
      </c>
      <c r="AX68" s="1">
        <v>0</v>
      </c>
      <c r="AY68" s="1">
        <v>2</v>
      </c>
      <c r="AZ68" s="1">
        <v>1</v>
      </c>
      <c r="BA68" s="1">
        <v>0</v>
      </c>
      <c r="BB68" s="1">
        <v>0</v>
      </c>
      <c r="BC68" s="1">
        <v>0</v>
      </c>
      <c r="BD68" s="1">
        <v>0</v>
      </c>
      <c r="BE68" s="1">
        <v>5</v>
      </c>
      <c r="BG68" s="1" t="s">
        <v>224</v>
      </c>
      <c r="BH68" s="1" t="s">
        <v>210</v>
      </c>
      <c r="BR68" s="1">
        <v>1</v>
      </c>
      <c r="BS68" s="1">
        <v>0</v>
      </c>
      <c r="BT68" s="1">
        <v>0</v>
      </c>
      <c r="BU68" s="1">
        <v>1</v>
      </c>
      <c r="BV68" s="1">
        <v>0</v>
      </c>
      <c r="BW68" s="1">
        <v>1</v>
      </c>
      <c r="BX68" s="1">
        <v>0</v>
      </c>
      <c r="BZ68" s="1">
        <v>1</v>
      </c>
      <c r="CA68" s="1">
        <v>1</v>
      </c>
      <c r="CF68" s="1">
        <f t="shared" si="20"/>
        <v>1</v>
      </c>
      <c r="CH68" s="1">
        <v>1</v>
      </c>
      <c r="CI68" s="1">
        <v>1</v>
      </c>
      <c r="CO68" s="1">
        <v>1400</v>
      </c>
      <c r="CP68" s="1">
        <v>2300</v>
      </c>
      <c r="CV68" s="1">
        <v>1</v>
      </c>
      <c r="CW68" s="1">
        <v>1</v>
      </c>
      <c r="DB68" s="7">
        <f t="shared" si="21"/>
        <v>1.85</v>
      </c>
      <c r="DC68" s="5">
        <f t="shared" si="22"/>
        <v>3</v>
      </c>
      <c r="DE68" s="1">
        <v>3333</v>
      </c>
      <c r="DF68" s="1">
        <v>3000</v>
      </c>
      <c r="DL68" s="1">
        <v>4</v>
      </c>
      <c r="DM68" s="1">
        <v>3</v>
      </c>
      <c r="DR68" s="1">
        <f t="shared" si="23"/>
        <v>4</v>
      </c>
      <c r="DZ68" s="1">
        <f t="shared" si="24"/>
        <v>0</v>
      </c>
      <c r="EF68" s="1">
        <f t="shared" si="25"/>
        <v>0</v>
      </c>
      <c r="EH68" s="1">
        <v>0</v>
      </c>
      <c r="EI68" s="1">
        <v>0</v>
      </c>
      <c r="EN68" s="1">
        <f t="shared" si="26"/>
        <v>0</v>
      </c>
      <c r="EP68" s="1">
        <v>1</v>
      </c>
      <c r="EQ68" s="1">
        <v>1</v>
      </c>
      <c r="EV68" s="1">
        <f t="shared" si="27"/>
        <v>1</v>
      </c>
      <c r="EX68" s="1">
        <v>1</v>
      </c>
      <c r="EY68" s="1">
        <v>1</v>
      </c>
      <c r="FE68" s="1">
        <v>1</v>
      </c>
      <c r="FF68" s="1">
        <v>1</v>
      </c>
      <c r="FK68" s="1">
        <f t="shared" si="28"/>
        <v>1</v>
      </c>
      <c r="FM68" s="1">
        <v>0</v>
      </c>
      <c r="FN68" s="1">
        <v>0</v>
      </c>
      <c r="FS68" s="1">
        <f t="shared" si="29"/>
        <v>0</v>
      </c>
      <c r="FU68" s="1">
        <v>0</v>
      </c>
      <c r="FV68" s="1">
        <v>0</v>
      </c>
      <c r="GA68" s="1">
        <f t="shared" si="30"/>
        <v>0</v>
      </c>
      <c r="GJ68" s="1">
        <v>10000</v>
      </c>
      <c r="GK68" s="1">
        <v>0</v>
      </c>
      <c r="GP68" s="1">
        <f t="shared" si="31"/>
        <v>10000</v>
      </c>
      <c r="GR68" s="1">
        <v>3000</v>
      </c>
      <c r="GX68" s="1">
        <f t="shared" si="32"/>
        <v>3</v>
      </c>
      <c r="GZ68" s="5">
        <v>1</v>
      </c>
      <c r="HA68" s="1">
        <v>1</v>
      </c>
      <c r="HF68" s="1">
        <f t="shared" si="33"/>
        <v>1</v>
      </c>
      <c r="HH68" s="1">
        <v>11</v>
      </c>
      <c r="HI68" s="1">
        <v>11</v>
      </c>
      <c r="HN68" s="1">
        <f t="shared" si="34"/>
        <v>11</v>
      </c>
      <c r="HP68" s="1">
        <v>1</v>
      </c>
      <c r="HQ68" s="1">
        <v>1</v>
      </c>
      <c r="HV68" s="1">
        <f t="shared" si="35"/>
        <v>1</v>
      </c>
      <c r="HX68" s="1" t="s">
        <v>243</v>
      </c>
      <c r="IE68" s="1">
        <v>0</v>
      </c>
      <c r="IK68" s="1">
        <v>0</v>
      </c>
      <c r="IL68" s="1">
        <v>64</v>
      </c>
      <c r="IM68" s="1">
        <v>0</v>
      </c>
      <c r="IN68" s="1">
        <v>80</v>
      </c>
      <c r="IO68" s="1">
        <v>0</v>
      </c>
    </row>
    <row r="69" spans="1:249" x14ac:dyDescent="0.25">
      <c r="A69" s="1">
        <v>68</v>
      </c>
      <c r="B69" s="1" t="s">
        <v>237</v>
      </c>
      <c r="C69" s="1" t="s">
        <v>194</v>
      </c>
      <c r="D69" s="1" t="s">
        <v>222</v>
      </c>
      <c r="E69" s="1" t="s">
        <v>229</v>
      </c>
      <c r="F69" s="1">
        <v>0</v>
      </c>
      <c r="G69" s="1">
        <v>0</v>
      </c>
      <c r="H69" s="1">
        <v>1</v>
      </c>
      <c r="I69" s="1">
        <v>48</v>
      </c>
      <c r="J69" s="1">
        <v>1</v>
      </c>
      <c r="K69" s="1">
        <v>1</v>
      </c>
      <c r="M69" s="1">
        <v>1</v>
      </c>
      <c r="N69" s="1">
        <v>1</v>
      </c>
      <c r="O69" s="1">
        <v>7</v>
      </c>
      <c r="P69" s="1">
        <v>30</v>
      </c>
      <c r="Q69" s="1">
        <v>1000</v>
      </c>
      <c r="R69" s="1">
        <v>1</v>
      </c>
      <c r="S69" s="1" t="s">
        <v>257</v>
      </c>
      <c r="T69" s="1">
        <v>1</v>
      </c>
      <c r="U69" s="1">
        <v>500</v>
      </c>
      <c r="V69" s="1">
        <v>1</v>
      </c>
      <c r="W69" s="1" t="s">
        <v>281</v>
      </c>
      <c r="X69" s="1">
        <v>2</v>
      </c>
      <c r="Y69" s="1">
        <f t="shared" si="18"/>
        <v>1</v>
      </c>
      <c r="Z69" s="1">
        <f t="shared" si="19"/>
        <v>0</v>
      </c>
      <c r="AA69" s="1">
        <v>4</v>
      </c>
      <c r="AC69" s="1">
        <v>0</v>
      </c>
      <c r="AD69" s="1">
        <v>0</v>
      </c>
      <c r="AE69" s="1">
        <v>1</v>
      </c>
      <c r="AF69" s="1">
        <v>1</v>
      </c>
      <c r="AG69" s="1">
        <v>1</v>
      </c>
      <c r="AH69" s="1">
        <v>0</v>
      </c>
      <c r="AI69" s="1">
        <v>1</v>
      </c>
      <c r="AJ69" s="1">
        <v>0</v>
      </c>
      <c r="AK69" s="1">
        <v>1</v>
      </c>
      <c r="AL69" s="1">
        <v>1</v>
      </c>
      <c r="AM69" s="1">
        <v>10</v>
      </c>
      <c r="AO69" s="1">
        <v>1</v>
      </c>
      <c r="AP69" s="1">
        <v>0</v>
      </c>
      <c r="AQ69" s="1">
        <v>0</v>
      </c>
      <c r="AS69" s="1">
        <v>1</v>
      </c>
      <c r="AT69" s="1">
        <v>1</v>
      </c>
      <c r="AU69" s="1">
        <v>0</v>
      </c>
      <c r="AV69" s="1">
        <v>0</v>
      </c>
      <c r="AW69" s="1">
        <v>0</v>
      </c>
      <c r="AX69" s="1">
        <v>0</v>
      </c>
      <c r="AY69" s="1">
        <v>4</v>
      </c>
      <c r="AZ69" s="1">
        <v>1</v>
      </c>
      <c r="BA69" s="1">
        <v>0</v>
      </c>
      <c r="BB69" s="1">
        <v>0</v>
      </c>
      <c r="BC69" s="1">
        <v>0</v>
      </c>
      <c r="BD69" s="1">
        <v>0</v>
      </c>
      <c r="BE69" s="1">
        <v>4</v>
      </c>
      <c r="BG69" s="1" t="s">
        <v>224</v>
      </c>
      <c r="BH69" s="1" t="s">
        <v>210</v>
      </c>
      <c r="BI69" s="1" t="s">
        <v>225</v>
      </c>
      <c r="BO69" s="1" t="s">
        <v>233</v>
      </c>
      <c r="BP69" s="1" t="s">
        <v>256</v>
      </c>
      <c r="BR69" s="1">
        <v>1</v>
      </c>
      <c r="BS69" s="1">
        <v>0</v>
      </c>
      <c r="BT69" s="1">
        <v>0</v>
      </c>
      <c r="BU69" s="1">
        <v>0</v>
      </c>
      <c r="BV69" s="1">
        <v>0</v>
      </c>
      <c r="BW69" s="1">
        <v>1</v>
      </c>
      <c r="BX69" s="1">
        <v>0</v>
      </c>
      <c r="BZ69" s="1">
        <v>1</v>
      </c>
      <c r="CA69" s="1">
        <v>1</v>
      </c>
      <c r="CF69" s="1">
        <f t="shared" si="20"/>
        <v>1</v>
      </c>
      <c r="CH69" s="1">
        <v>2</v>
      </c>
      <c r="CI69" s="1">
        <v>1</v>
      </c>
      <c r="CO69" s="1">
        <v>1200</v>
      </c>
      <c r="CP69" s="1">
        <v>1500</v>
      </c>
      <c r="CV69" s="1">
        <v>2</v>
      </c>
      <c r="CW69" s="1">
        <v>1</v>
      </c>
      <c r="DB69" s="7">
        <f t="shared" si="21"/>
        <v>0.9</v>
      </c>
      <c r="DC69" s="5">
        <f t="shared" si="22"/>
        <v>3</v>
      </c>
      <c r="DE69" s="1">
        <v>3000</v>
      </c>
      <c r="DF69" s="1">
        <v>2500</v>
      </c>
      <c r="DL69" s="1">
        <v>6</v>
      </c>
      <c r="DM69" s="1">
        <v>7</v>
      </c>
      <c r="DR69" s="1">
        <f t="shared" si="23"/>
        <v>7</v>
      </c>
      <c r="DZ69" s="1">
        <f t="shared" si="24"/>
        <v>0</v>
      </c>
      <c r="EC69" s="1">
        <v>1</v>
      </c>
      <c r="EF69" s="1">
        <f t="shared" si="25"/>
        <v>1</v>
      </c>
      <c r="EH69" s="1">
        <v>0</v>
      </c>
      <c r="EI69" s="1">
        <v>0</v>
      </c>
      <c r="EN69" s="1">
        <f t="shared" si="26"/>
        <v>0</v>
      </c>
      <c r="EP69" s="1">
        <v>1</v>
      </c>
      <c r="EQ69" s="1">
        <v>1</v>
      </c>
      <c r="EV69" s="1">
        <f t="shared" si="27"/>
        <v>1</v>
      </c>
      <c r="EX69" s="1">
        <v>1</v>
      </c>
      <c r="EY69" s="1">
        <v>1</v>
      </c>
      <c r="FE69" s="1">
        <v>1</v>
      </c>
      <c r="FF69" s="1">
        <v>1</v>
      </c>
      <c r="FK69" s="1">
        <f t="shared" si="28"/>
        <v>1</v>
      </c>
      <c r="FM69" s="1">
        <v>0</v>
      </c>
      <c r="FN69" s="1">
        <v>0</v>
      </c>
      <c r="FS69" s="1">
        <f t="shared" si="29"/>
        <v>0</v>
      </c>
      <c r="FU69" s="1">
        <v>0</v>
      </c>
      <c r="FV69" s="1">
        <v>0</v>
      </c>
      <c r="GA69" s="1">
        <f t="shared" si="30"/>
        <v>0</v>
      </c>
      <c r="GJ69" s="1">
        <v>8000</v>
      </c>
      <c r="GK69" s="1">
        <v>0</v>
      </c>
      <c r="GP69" s="1">
        <f t="shared" si="31"/>
        <v>8000</v>
      </c>
      <c r="GR69" s="1">
        <v>2000</v>
      </c>
      <c r="GX69" s="1">
        <f t="shared" si="32"/>
        <v>2</v>
      </c>
      <c r="GZ69" s="5">
        <v>1</v>
      </c>
      <c r="HA69" s="1">
        <v>1</v>
      </c>
      <c r="HF69" s="1">
        <f t="shared" si="33"/>
        <v>1</v>
      </c>
      <c r="HH69" s="1">
        <v>12.6</v>
      </c>
      <c r="HI69" s="1">
        <v>12.6</v>
      </c>
      <c r="HN69" s="1">
        <f t="shared" si="34"/>
        <v>12.6</v>
      </c>
      <c r="HP69" s="1">
        <v>1</v>
      </c>
      <c r="HQ69" s="1">
        <v>0</v>
      </c>
      <c r="HV69" s="1">
        <f t="shared" si="35"/>
        <v>1</v>
      </c>
      <c r="HX69" s="1" t="s">
        <v>243</v>
      </c>
      <c r="IE69" s="1">
        <v>0</v>
      </c>
      <c r="IK69" s="1">
        <v>0</v>
      </c>
      <c r="IL69" s="1">
        <v>0</v>
      </c>
      <c r="IM69" s="1">
        <v>0</v>
      </c>
      <c r="IN69" s="1">
        <v>120</v>
      </c>
      <c r="IO69" s="1">
        <v>0</v>
      </c>
    </row>
    <row r="70" spans="1:249" x14ac:dyDescent="0.25">
      <c r="A70" s="1">
        <v>69</v>
      </c>
      <c r="B70" s="1" t="s">
        <v>234</v>
      </c>
      <c r="C70" s="1" t="s">
        <v>235</v>
      </c>
      <c r="D70" s="1" t="s">
        <v>236</v>
      </c>
      <c r="E70" s="1" t="s">
        <v>259</v>
      </c>
      <c r="F70" s="1">
        <v>0</v>
      </c>
      <c r="G70" s="1">
        <v>0</v>
      </c>
      <c r="H70" s="1">
        <v>1</v>
      </c>
      <c r="I70" s="1">
        <v>41</v>
      </c>
      <c r="J70" s="1">
        <v>0</v>
      </c>
      <c r="K70" s="1">
        <v>0</v>
      </c>
      <c r="L70" s="1">
        <v>1</v>
      </c>
      <c r="M70" s="1">
        <v>0</v>
      </c>
      <c r="N70" s="1">
        <v>0</v>
      </c>
      <c r="O70" s="1">
        <v>4</v>
      </c>
      <c r="P70" s="1">
        <v>41</v>
      </c>
      <c r="Q70" s="1">
        <v>1600</v>
      </c>
      <c r="R70" s="1">
        <v>0</v>
      </c>
      <c r="T70" s="1">
        <v>1</v>
      </c>
      <c r="U70" s="1">
        <v>600</v>
      </c>
      <c r="V70" s="1">
        <v>1</v>
      </c>
      <c r="X70" s="1">
        <v>7</v>
      </c>
      <c r="Y70" s="1">
        <f t="shared" si="18"/>
        <v>0</v>
      </c>
      <c r="Z70" s="1">
        <f t="shared" si="19"/>
        <v>0</v>
      </c>
      <c r="AA70" s="1">
        <v>15</v>
      </c>
      <c r="AC70" s="1">
        <v>0</v>
      </c>
      <c r="AD70" s="1">
        <v>0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0</v>
      </c>
      <c r="AK70" s="1">
        <v>1</v>
      </c>
      <c r="AL70" s="1">
        <v>1</v>
      </c>
      <c r="AM70" s="1">
        <v>8</v>
      </c>
      <c r="AO70" s="1">
        <v>1</v>
      </c>
      <c r="AP70" s="1">
        <v>0</v>
      </c>
      <c r="AQ70" s="1">
        <v>0</v>
      </c>
      <c r="AS70" s="1">
        <v>1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3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2</v>
      </c>
      <c r="BG70" s="1" t="s">
        <v>224</v>
      </c>
      <c r="BO70" s="1" t="s">
        <v>233</v>
      </c>
      <c r="BR70" s="1">
        <v>0</v>
      </c>
      <c r="BS70" s="1">
        <v>0</v>
      </c>
      <c r="BT70" s="1">
        <v>0</v>
      </c>
      <c r="BU70" s="1">
        <v>1</v>
      </c>
      <c r="BV70" s="1">
        <v>0</v>
      </c>
      <c r="BW70" s="1">
        <v>1</v>
      </c>
      <c r="BX70" s="1">
        <v>0</v>
      </c>
      <c r="BZ70" s="1">
        <v>1</v>
      </c>
      <c r="CF70" s="1">
        <f t="shared" si="20"/>
        <v>0</v>
      </c>
      <c r="CH70" s="1">
        <v>3</v>
      </c>
      <c r="CO70" s="1">
        <v>6000</v>
      </c>
      <c r="CV70" s="1">
        <v>3</v>
      </c>
      <c r="DB70" s="7">
        <f t="shared" si="21"/>
        <v>2</v>
      </c>
      <c r="DC70" s="5">
        <f t="shared" si="22"/>
        <v>3</v>
      </c>
      <c r="DE70" s="1">
        <v>3000</v>
      </c>
      <c r="DL70" s="1">
        <v>7</v>
      </c>
      <c r="DR70" s="1">
        <f t="shared" si="23"/>
        <v>7</v>
      </c>
      <c r="DZ70" s="1">
        <f t="shared" si="24"/>
        <v>0</v>
      </c>
      <c r="EC70" s="1">
        <v>1</v>
      </c>
      <c r="EF70" s="1">
        <f t="shared" si="25"/>
        <v>1</v>
      </c>
      <c r="EH70" s="1">
        <v>0</v>
      </c>
      <c r="EN70" s="1">
        <f t="shared" si="26"/>
        <v>0</v>
      </c>
      <c r="EP70" s="1">
        <v>1</v>
      </c>
      <c r="EV70" s="1">
        <f t="shared" si="27"/>
        <v>1</v>
      </c>
      <c r="EX70" s="1">
        <v>1</v>
      </c>
      <c r="FE70" s="1">
        <v>1</v>
      </c>
      <c r="FK70" s="1">
        <f t="shared" si="28"/>
        <v>1</v>
      </c>
      <c r="FM70" s="1">
        <v>0</v>
      </c>
      <c r="FS70" s="1">
        <f t="shared" si="29"/>
        <v>0</v>
      </c>
      <c r="FU70" s="1">
        <v>0</v>
      </c>
      <c r="GA70" s="1">
        <f t="shared" si="30"/>
        <v>0</v>
      </c>
      <c r="GJ70" s="1">
        <v>0</v>
      </c>
      <c r="GP70" s="1">
        <f t="shared" si="31"/>
        <v>0</v>
      </c>
      <c r="GR70" s="1">
        <v>15000</v>
      </c>
      <c r="GX70" s="1">
        <f t="shared" si="32"/>
        <v>15</v>
      </c>
      <c r="GZ70" s="5">
        <v>1</v>
      </c>
      <c r="HF70" s="1">
        <f t="shared" si="33"/>
        <v>1</v>
      </c>
      <c r="HH70" s="1">
        <v>11.5</v>
      </c>
      <c r="HN70" s="1">
        <f t="shared" si="34"/>
        <v>11.5</v>
      </c>
      <c r="HP70" s="1">
        <v>0</v>
      </c>
      <c r="HV70" s="1">
        <f t="shared" si="35"/>
        <v>0</v>
      </c>
      <c r="IK70" s="1">
        <v>0</v>
      </c>
      <c r="IL70" s="1">
        <v>0</v>
      </c>
      <c r="IM70" s="1">
        <v>0</v>
      </c>
      <c r="IN70" s="1">
        <v>120</v>
      </c>
      <c r="IO70" s="1">
        <v>0</v>
      </c>
    </row>
    <row r="71" spans="1:249" x14ac:dyDescent="0.25">
      <c r="A71" s="1">
        <v>70</v>
      </c>
      <c r="B71" s="1" t="s">
        <v>234</v>
      </c>
      <c r="C71" s="1" t="s">
        <v>235</v>
      </c>
      <c r="D71" s="1" t="s">
        <v>236</v>
      </c>
      <c r="E71" s="1" t="s">
        <v>259</v>
      </c>
      <c r="F71" s="1">
        <v>0</v>
      </c>
      <c r="G71" s="1">
        <v>0</v>
      </c>
      <c r="H71" s="1">
        <v>1</v>
      </c>
      <c r="I71" s="1">
        <v>36</v>
      </c>
      <c r="J71" s="1">
        <v>1</v>
      </c>
      <c r="K71" s="1">
        <v>1</v>
      </c>
      <c r="M71" s="1">
        <v>1</v>
      </c>
      <c r="N71" s="1">
        <v>0</v>
      </c>
      <c r="O71" s="1">
        <v>5</v>
      </c>
      <c r="P71" s="1">
        <v>6</v>
      </c>
      <c r="Q71" s="1">
        <v>1000</v>
      </c>
      <c r="R71" s="1">
        <v>1</v>
      </c>
      <c r="S71" s="1" t="s">
        <v>242</v>
      </c>
      <c r="T71" s="1">
        <v>0</v>
      </c>
      <c r="U71" s="1">
        <v>0</v>
      </c>
      <c r="V71" s="1">
        <v>1</v>
      </c>
      <c r="X71" s="1">
        <v>2</v>
      </c>
      <c r="Y71" s="1">
        <f t="shared" si="18"/>
        <v>1</v>
      </c>
      <c r="Z71" s="1">
        <f t="shared" si="19"/>
        <v>0</v>
      </c>
      <c r="AA71" s="1">
        <v>7</v>
      </c>
      <c r="AC71" s="1">
        <v>0</v>
      </c>
      <c r="AD71" s="1">
        <v>0</v>
      </c>
      <c r="AE71" s="1">
        <v>1</v>
      </c>
      <c r="AF71" s="1">
        <v>1</v>
      </c>
      <c r="AG71" s="1">
        <v>1</v>
      </c>
      <c r="AH71" s="1">
        <v>1</v>
      </c>
      <c r="AI71" s="1">
        <v>1</v>
      </c>
      <c r="AJ71" s="1">
        <v>0</v>
      </c>
      <c r="AK71" s="1">
        <v>1</v>
      </c>
      <c r="AL71" s="1">
        <v>1</v>
      </c>
      <c r="AM71" s="1">
        <v>7</v>
      </c>
      <c r="AO71" s="1">
        <v>1</v>
      </c>
      <c r="AP71" s="1">
        <v>0</v>
      </c>
      <c r="AQ71" s="1">
        <v>0</v>
      </c>
      <c r="AS71" s="1">
        <v>1</v>
      </c>
      <c r="AT71" s="1">
        <v>1</v>
      </c>
      <c r="AU71" s="1">
        <v>0</v>
      </c>
      <c r="AV71" s="1">
        <v>0</v>
      </c>
      <c r="AW71" s="1">
        <v>0</v>
      </c>
      <c r="AX71" s="1">
        <v>0</v>
      </c>
      <c r="AY71" s="1">
        <v>2</v>
      </c>
      <c r="AZ71" s="1">
        <v>0.5</v>
      </c>
      <c r="BA71" s="1">
        <v>0</v>
      </c>
      <c r="BB71" s="1">
        <v>0</v>
      </c>
      <c r="BC71" s="1">
        <v>0</v>
      </c>
      <c r="BD71" s="1">
        <v>0</v>
      </c>
      <c r="BE71" s="1">
        <v>1</v>
      </c>
      <c r="BG71" s="1" t="s">
        <v>224</v>
      </c>
      <c r="BH71" s="1" t="s">
        <v>210</v>
      </c>
      <c r="BK71" s="1" t="s">
        <v>282</v>
      </c>
      <c r="BL71" s="1" t="s">
        <v>283</v>
      </c>
      <c r="BO71" s="1" t="s">
        <v>233</v>
      </c>
      <c r="BR71" s="1">
        <v>1</v>
      </c>
      <c r="BS71" s="1">
        <v>0</v>
      </c>
      <c r="BT71" s="1">
        <v>0</v>
      </c>
      <c r="BU71" s="1">
        <v>1</v>
      </c>
      <c r="BV71" s="1">
        <v>1</v>
      </c>
      <c r="BW71" s="1">
        <v>1</v>
      </c>
      <c r="BX71" s="1">
        <v>0</v>
      </c>
      <c r="BZ71" s="1">
        <v>1</v>
      </c>
      <c r="CF71" s="1">
        <f t="shared" si="20"/>
        <v>0</v>
      </c>
      <c r="CH71" s="1">
        <v>2</v>
      </c>
      <c r="CO71" s="1">
        <v>2000</v>
      </c>
      <c r="CV71" s="1">
        <v>2</v>
      </c>
      <c r="DB71" s="7">
        <f t="shared" si="21"/>
        <v>1</v>
      </c>
      <c r="DC71" s="5">
        <f t="shared" si="22"/>
        <v>3</v>
      </c>
      <c r="DE71" s="1">
        <v>3000</v>
      </c>
      <c r="DL71" s="1">
        <v>7</v>
      </c>
      <c r="DR71" s="1">
        <f t="shared" si="23"/>
        <v>7</v>
      </c>
      <c r="DZ71" s="1">
        <f t="shared" si="24"/>
        <v>0</v>
      </c>
      <c r="EB71" s="1">
        <v>1</v>
      </c>
      <c r="EF71" s="1">
        <f t="shared" si="25"/>
        <v>1</v>
      </c>
      <c r="EH71" s="1">
        <v>0</v>
      </c>
      <c r="EN71" s="1">
        <f t="shared" si="26"/>
        <v>0</v>
      </c>
      <c r="EP71" s="1">
        <v>1</v>
      </c>
      <c r="EV71" s="1">
        <f t="shared" si="27"/>
        <v>1</v>
      </c>
      <c r="EX71" s="1">
        <v>1</v>
      </c>
      <c r="FE71" s="1">
        <v>1</v>
      </c>
      <c r="FK71" s="1">
        <f t="shared" si="28"/>
        <v>1</v>
      </c>
      <c r="FM71" s="1">
        <v>0</v>
      </c>
      <c r="FS71" s="1">
        <f t="shared" si="29"/>
        <v>0</v>
      </c>
      <c r="FU71" s="1">
        <v>0</v>
      </c>
      <c r="GA71" s="1">
        <f t="shared" si="30"/>
        <v>0</v>
      </c>
      <c r="GJ71" s="1">
        <v>0</v>
      </c>
      <c r="GP71" s="1">
        <f t="shared" si="31"/>
        <v>0</v>
      </c>
      <c r="GR71" s="1">
        <v>8000</v>
      </c>
      <c r="GX71" s="1">
        <f t="shared" si="32"/>
        <v>8</v>
      </c>
      <c r="GZ71" s="5">
        <v>1</v>
      </c>
      <c r="HF71" s="1">
        <f t="shared" si="33"/>
        <v>1</v>
      </c>
      <c r="HH71" s="1">
        <v>11</v>
      </c>
      <c r="HN71" s="1">
        <f t="shared" si="34"/>
        <v>11</v>
      </c>
      <c r="HV71" s="1">
        <f t="shared" si="35"/>
        <v>0</v>
      </c>
      <c r="IK71" s="1">
        <v>0</v>
      </c>
      <c r="IL71" s="1">
        <v>0</v>
      </c>
      <c r="IM71" s="1">
        <v>0</v>
      </c>
      <c r="IN71" s="1">
        <v>80</v>
      </c>
      <c r="IO71" s="1">
        <v>0</v>
      </c>
    </row>
    <row r="72" spans="1:249" x14ac:dyDescent="0.25">
      <c r="A72" s="1">
        <v>71</v>
      </c>
      <c r="B72" s="1" t="s">
        <v>234</v>
      </c>
      <c r="C72" s="1" t="s">
        <v>235</v>
      </c>
      <c r="D72" s="1" t="s">
        <v>236</v>
      </c>
      <c r="E72" s="1" t="s">
        <v>259</v>
      </c>
      <c r="F72" s="1">
        <v>0</v>
      </c>
      <c r="G72" s="1">
        <v>0</v>
      </c>
      <c r="H72" s="1">
        <v>1</v>
      </c>
      <c r="I72" s="1">
        <v>37</v>
      </c>
      <c r="J72" s="1">
        <v>1</v>
      </c>
      <c r="K72" s="1">
        <v>1</v>
      </c>
      <c r="M72" s="1">
        <v>1</v>
      </c>
      <c r="N72" s="1">
        <v>0</v>
      </c>
      <c r="O72" s="1">
        <v>3</v>
      </c>
      <c r="P72" s="1">
        <v>5</v>
      </c>
      <c r="Q72" s="1">
        <v>800</v>
      </c>
      <c r="R72" s="1">
        <v>0</v>
      </c>
      <c r="T72" s="1">
        <v>1</v>
      </c>
      <c r="U72" s="1">
        <v>300</v>
      </c>
      <c r="V72" s="1">
        <v>0</v>
      </c>
      <c r="X72" s="1">
        <v>5</v>
      </c>
      <c r="Y72" s="1">
        <f t="shared" si="18"/>
        <v>0</v>
      </c>
      <c r="Z72" s="1">
        <f t="shared" si="19"/>
        <v>1</v>
      </c>
      <c r="AA72" s="1">
        <v>12</v>
      </c>
      <c r="AC72" s="1">
        <v>0</v>
      </c>
      <c r="AD72" s="1">
        <v>0</v>
      </c>
      <c r="AE72" s="1">
        <v>1</v>
      </c>
      <c r="AF72" s="1">
        <v>1</v>
      </c>
      <c r="AG72" s="1">
        <v>1</v>
      </c>
      <c r="AH72" s="1">
        <v>1</v>
      </c>
      <c r="AI72" s="1">
        <v>1</v>
      </c>
      <c r="AJ72" s="1">
        <v>0</v>
      </c>
      <c r="AK72" s="1">
        <v>0</v>
      </c>
      <c r="AL72" s="1">
        <v>1</v>
      </c>
      <c r="AM72" s="1">
        <v>5</v>
      </c>
      <c r="AO72" s="1">
        <v>1</v>
      </c>
      <c r="AP72" s="1">
        <v>0</v>
      </c>
      <c r="AQ72" s="1">
        <v>0</v>
      </c>
      <c r="AS72" s="1">
        <v>1</v>
      </c>
      <c r="AT72" s="1">
        <v>1</v>
      </c>
      <c r="AU72" s="1">
        <v>0</v>
      </c>
      <c r="AV72" s="1">
        <v>0</v>
      </c>
      <c r="AW72" s="1">
        <v>0</v>
      </c>
      <c r="AX72" s="1">
        <v>0</v>
      </c>
      <c r="AY72" s="1">
        <v>1</v>
      </c>
      <c r="AZ72" s="1">
        <v>0.25</v>
      </c>
      <c r="BA72" s="1">
        <v>0</v>
      </c>
      <c r="BB72" s="1">
        <v>0</v>
      </c>
      <c r="BC72" s="1">
        <v>0</v>
      </c>
      <c r="BD72" s="1">
        <v>0</v>
      </c>
      <c r="BE72" s="1">
        <v>1.5</v>
      </c>
      <c r="BG72" s="1" t="s">
        <v>224</v>
      </c>
      <c r="BH72" s="1" t="s">
        <v>210</v>
      </c>
      <c r="BR72" s="1">
        <v>1</v>
      </c>
      <c r="BS72" s="1">
        <v>0</v>
      </c>
      <c r="BT72" s="1">
        <v>0</v>
      </c>
      <c r="BU72" s="1">
        <v>1</v>
      </c>
      <c r="BV72" s="1">
        <v>1</v>
      </c>
      <c r="BW72" s="1">
        <v>1</v>
      </c>
      <c r="BX72" s="1">
        <v>0</v>
      </c>
      <c r="BZ72" s="1">
        <v>1</v>
      </c>
      <c r="CF72" s="1">
        <f t="shared" si="20"/>
        <v>0</v>
      </c>
      <c r="CH72" s="1">
        <v>1</v>
      </c>
      <c r="CO72" s="1">
        <v>1200</v>
      </c>
      <c r="CV72" s="1">
        <v>1</v>
      </c>
      <c r="DB72" s="7">
        <f t="shared" si="21"/>
        <v>1.2</v>
      </c>
      <c r="DC72" s="5">
        <f t="shared" si="22"/>
        <v>3</v>
      </c>
      <c r="DE72" s="1">
        <v>3000</v>
      </c>
      <c r="DL72" s="1">
        <v>7</v>
      </c>
      <c r="DR72" s="1">
        <f t="shared" si="23"/>
        <v>7</v>
      </c>
      <c r="DZ72" s="1">
        <f t="shared" si="24"/>
        <v>0</v>
      </c>
      <c r="EF72" s="1">
        <f t="shared" si="25"/>
        <v>0</v>
      </c>
      <c r="EH72" s="1">
        <v>0</v>
      </c>
      <c r="EN72" s="1">
        <f t="shared" si="26"/>
        <v>0</v>
      </c>
      <c r="EP72" s="1">
        <v>1</v>
      </c>
      <c r="EV72" s="1">
        <f t="shared" si="27"/>
        <v>1</v>
      </c>
      <c r="EX72" s="1">
        <v>1</v>
      </c>
      <c r="FE72" s="1">
        <v>1</v>
      </c>
      <c r="FK72" s="1">
        <f t="shared" si="28"/>
        <v>1</v>
      </c>
      <c r="FM72" s="1">
        <v>0</v>
      </c>
      <c r="FS72" s="1">
        <f t="shared" si="29"/>
        <v>0</v>
      </c>
      <c r="FU72" s="1">
        <v>0</v>
      </c>
      <c r="GA72" s="1">
        <f t="shared" si="30"/>
        <v>0</v>
      </c>
      <c r="GJ72" s="1">
        <v>0</v>
      </c>
      <c r="GP72" s="1">
        <f t="shared" si="31"/>
        <v>0</v>
      </c>
      <c r="GR72" s="1">
        <v>7000</v>
      </c>
      <c r="GX72" s="1">
        <f t="shared" si="32"/>
        <v>7</v>
      </c>
      <c r="GZ72" s="5">
        <v>1</v>
      </c>
      <c r="HF72" s="1">
        <f t="shared" si="33"/>
        <v>1</v>
      </c>
      <c r="HH72" s="1">
        <v>10.5</v>
      </c>
      <c r="HN72" s="1">
        <f t="shared" si="34"/>
        <v>10.5</v>
      </c>
      <c r="HP72" s="1">
        <v>0</v>
      </c>
      <c r="HV72" s="1">
        <f t="shared" si="35"/>
        <v>0</v>
      </c>
      <c r="IK72" s="1">
        <v>0</v>
      </c>
      <c r="IL72" s="1">
        <v>0</v>
      </c>
      <c r="IM72" s="1">
        <v>0</v>
      </c>
      <c r="IN72" s="1">
        <v>40</v>
      </c>
      <c r="IO72" s="1">
        <v>0</v>
      </c>
    </row>
    <row r="73" spans="1:249" x14ac:dyDescent="0.25">
      <c r="A73" s="1">
        <v>72</v>
      </c>
      <c r="B73" s="1" t="s">
        <v>234</v>
      </c>
      <c r="C73" s="1" t="s">
        <v>235</v>
      </c>
      <c r="D73" s="1" t="s">
        <v>236</v>
      </c>
      <c r="E73" s="1" t="s">
        <v>259</v>
      </c>
      <c r="F73" s="1">
        <v>0</v>
      </c>
      <c r="G73" s="1">
        <v>0</v>
      </c>
      <c r="H73" s="1">
        <v>1</v>
      </c>
      <c r="I73" s="1">
        <v>28</v>
      </c>
      <c r="J73" s="1">
        <v>1</v>
      </c>
      <c r="K73" s="1">
        <v>1</v>
      </c>
      <c r="M73" s="1">
        <v>0</v>
      </c>
      <c r="N73" s="1">
        <v>0</v>
      </c>
      <c r="O73" s="1">
        <v>3</v>
      </c>
      <c r="P73" s="1">
        <v>28</v>
      </c>
      <c r="Q73" s="1">
        <v>700</v>
      </c>
      <c r="R73" s="1">
        <v>1</v>
      </c>
      <c r="S73" s="1" t="s">
        <v>242</v>
      </c>
      <c r="T73" s="1">
        <v>1</v>
      </c>
      <c r="U73" s="1">
        <v>400</v>
      </c>
      <c r="V73" s="1">
        <v>1</v>
      </c>
      <c r="W73" s="1" t="s">
        <v>240</v>
      </c>
      <c r="X73" s="1">
        <v>5</v>
      </c>
      <c r="Y73" s="1">
        <f t="shared" si="18"/>
        <v>0</v>
      </c>
      <c r="Z73" s="1">
        <f t="shared" si="19"/>
        <v>1</v>
      </c>
      <c r="AA73" s="1">
        <v>11</v>
      </c>
      <c r="AC73" s="1">
        <v>0</v>
      </c>
      <c r="AD73" s="1">
        <v>0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1">
        <v>0</v>
      </c>
      <c r="AK73" s="1">
        <v>1</v>
      </c>
      <c r="AL73" s="1">
        <v>1</v>
      </c>
      <c r="AM73" s="1">
        <v>8</v>
      </c>
      <c r="AO73" s="1">
        <v>1</v>
      </c>
      <c r="AP73" s="1">
        <v>0</v>
      </c>
      <c r="AQ73" s="1">
        <v>0</v>
      </c>
      <c r="AS73" s="1">
        <v>1</v>
      </c>
      <c r="AT73" s="1">
        <v>1</v>
      </c>
      <c r="AU73" s="1">
        <v>0</v>
      </c>
      <c r="AV73" s="1">
        <v>0</v>
      </c>
      <c r="AW73" s="1">
        <v>0</v>
      </c>
      <c r="AX73" s="1">
        <v>0</v>
      </c>
      <c r="AY73" s="1">
        <v>2</v>
      </c>
      <c r="AZ73" s="1">
        <v>0.25</v>
      </c>
      <c r="BA73" s="1">
        <v>0</v>
      </c>
      <c r="BB73" s="1">
        <v>0</v>
      </c>
      <c r="BC73" s="1">
        <v>0</v>
      </c>
      <c r="BD73" s="1">
        <v>0</v>
      </c>
      <c r="BE73" s="1">
        <v>2</v>
      </c>
      <c r="BG73" s="1" t="s">
        <v>224</v>
      </c>
      <c r="BR73" s="1">
        <v>0</v>
      </c>
      <c r="BS73" s="1">
        <v>0</v>
      </c>
      <c r="BT73" s="1">
        <v>0</v>
      </c>
      <c r="BU73" s="1">
        <v>1</v>
      </c>
      <c r="BV73" s="1">
        <v>1</v>
      </c>
      <c r="BW73" s="1">
        <v>1</v>
      </c>
      <c r="BX73" s="1">
        <v>0</v>
      </c>
      <c r="BZ73" s="1">
        <v>1</v>
      </c>
      <c r="CE73" s="1">
        <v>1</v>
      </c>
      <c r="CF73" s="1">
        <f t="shared" si="20"/>
        <v>1</v>
      </c>
      <c r="CH73" s="1">
        <v>1</v>
      </c>
      <c r="CM73" s="1">
        <v>1</v>
      </c>
      <c r="CO73" s="1">
        <v>1000</v>
      </c>
      <c r="CV73" s="1">
        <v>1</v>
      </c>
      <c r="DB73" s="7">
        <f t="shared" si="21"/>
        <v>1</v>
      </c>
      <c r="DC73" s="5">
        <f t="shared" si="22"/>
        <v>3</v>
      </c>
      <c r="DE73" s="1">
        <v>3000</v>
      </c>
      <c r="DJ73" s="1">
        <v>2500</v>
      </c>
      <c r="DL73" s="1">
        <v>4</v>
      </c>
      <c r="DQ73" s="1">
        <v>1</v>
      </c>
      <c r="DR73" s="1">
        <f t="shared" si="23"/>
        <v>4</v>
      </c>
      <c r="DT73" s="1">
        <v>1</v>
      </c>
      <c r="DZ73" s="1">
        <f t="shared" si="24"/>
        <v>1</v>
      </c>
      <c r="ED73" s="1">
        <v>1</v>
      </c>
      <c r="EF73" s="1">
        <f t="shared" si="25"/>
        <v>1</v>
      </c>
      <c r="EH73" s="1">
        <v>0</v>
      </c>
      <c r="EM73" s="1">
        <v>0</v>
      </c>
      <c r="EN73" s="1">
        <f t="shared" si="26"/>
        <v>0</v>
      </c>
      <c r="EP73" s="1">
        <v>1</v>
      </c>
      <c r="EU73" s="1">
        <v>1</v>
      </c>
      <c r="EV73" s="1">
        <f t="shared" si="27"/>
        <v>1</v>
      </c>
      <c r="EX73" s="1">
        <v>1</v>
      </c>
      <c r="FC73" s="1">
        <v>1</v>
      </c>
      <c r="FE73" s="1">
        <v>1</v>
      </c>
      <c r="FJ73" s="1">
        <v>1</v>
      </c>
      <c r="FK73" s="1">
        <f t="shared" si="28"/>
        <v>1</v>
      </c>
      <c r="FM73" s="1">
        <v>0</v>
      </c>
      <c r="FR73" s="1">
        <v>0</v>
      </c>
      <c r="FS73" s="1">
        <f t="shared" si="29"/>
        <v>0</v>
      </c>
      <c r="FU73" s="1">
        <v>0</v>
      </c>
      <c r="FZ73" s="1">
        <v>0</v>
      </c>
      <c r="GA73" s="1">
        <f t="shared" si="30"/>
        <v>0</v>
      </c>
      <c r="GJ73" s="1">
        <v>12000</v>
      </c>
      <c r="GO73" s="1">
        <v>0</v>
      </c>
      <c r="GP73" s="1">
        <f t="shared" si="31"/>
        <v>12000</v>
      </c>
      <c r="GR73" s="1">
        <v>1000</v>
      </c>
      <c r="GW73" s="1">
        <v>6000</v>
      </c>
      <c r="GX73" s="1">
        <f t="shared" si="32"/>
        <v>7</v>
      </c>
      <c r="GZ73" s="1">
        <v>1</v>
      </c>
      <c r="HE73" s="1">
        <v>1</v>
      </c>
      <c r="HF73" s="1">
        <f t="shared" si="33"/>
        <v>1</v>
      </c>
      <c r="HH73" s="1">
        <v>14</v>
      </c>
      <c r="HN73" s="1">
        <f t="shared" si="34"/>
        <v>14</v>
      </c>
      <c r="HP73" s="1">
        <v>0</v>
      </c>
      <c r="HU73" s="1">
        <v>0</v>
      </c>
      <c r="HV73" s="1">
        <f t="shared" si="35"/>
        <v>0</v>
      </c>
      <c r="HX73" s="1" t="s">
        <v>284</v>
      </c>
      <c r="IE73" s="1">
        <v>0</v>
      </c>
      <c r="IK73" s="1">
        <v>0</v>
      </c>
      <c r="IL73" s="1">
        <v>64</v>
      </c>
      <c r="IM73" s="1">
        <v>16</v>
      </c>
      <c r="IN73" s="1">
        <v>80</v>
      </c>
      <c r="IO73" s="1">
        <v>0</v>
      </c>
    </row>
    <row r="74" spans="1:249" x14ac:dyDescent="0.25">
      <c r="A74" s="1">
        <v>73</v>
      </c>
      <c r="B74" s="1" t="s">
        <v>234</v>
      </c>
      <c r="C74" s="1" t="s">
        <v>235</v>
      </c>
      <c r="D74" s="1" t="s">
        <v>236</v>
      </c>
      <c r="E74" s="1" t="s">
        <v>259</v>
      </c>
      <c r="F74" s="1">
        <v>0</v>
      </c>
      <c r="G74" s="1">
        <v>0</v>
      </c>
      <c r="H74" s="1">
        <v>1</v>
      </c>
      <c r="I74" s="1">
        <v>37</v>
      </c>
      <c r="J74" s="1">
        <v>1</v>
      </c>
      <c r="K74" s="1">
        <v>1</v>
      </c>
      <c r="M74" s="1">
        <v>1</v>
      </c>
      <c r="N74" s="1">
        <v>1</v>
      </c>
      <c r="O74" s="1">
        <v>5</v>
      </c>
      <c r="P74" s="1">
        <v>10</v>
      </c>
      <c r="Q74" s="1">
        <v>1000</v>
      </c>
      <c r="R74" s="1">
        <v>1</v>
      </c>
      <c r="S74" s="1" t="s">
        <v>242</v>
      </c>
      <c r="T74" s="1">
        <v>1</v>
      </c>
      <c r="U74" s="1">
        <v>400</v>
      </c>
      <c r="V74" s="1">
        <v>1</v>
      </c>
      <c r="W74" s="1" t="s">
        <v>240</v>
      </c>
      <c r="X74" s="1">
        <v>3</v>
      </c>
      <c r="Y74" s="1">
        <f t="shared" si="18"/>
        <v>1</v>
      </c>
      <c r="Z74" s="1">
        <f t="shared" si="19"/>
        <v>0</v>
      </c>
      <c r="AA74" s="1">
        <v>8</v>
      </c>
      <c r="AC74" s="1">
        <v>0</v>
      </c>
      <c r="AD74" s="1">
        <v>0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0</v>
      </c>
      <c r="AK74" s="1">
        <v>0</v>
      </c>
      <c r="AL74" s="1">
        <v>1</v>
      </c>
      <c r="AM74" s="1">
        <v>8</v>
      </c>
      <c r="AO74" s="1">
        <v>1</v>
      </c>
      <c r="AP74" s="1">
        <v>0</v>
      </c>
      <c r="AQ74" s="1">
        <v>0</v>
      </c>
      <c r="AS74" s="1">
        <v>1</v>
      </c>
      <c r="AT74" s="1">
        <v>1</v>
      </c>
      <c r="AU74" s="1">
        <v>0</v>
      </c>
      <c r="AV74" s="1">
        <v>0</v>
      </c>
      <c r="AW74" s="1">
        <v>0</v>
      </c>
      <c r="AX74" s="1">
        <v>0</v>
      </c>
      <c r="AY74" s="1">
        <v>2</v>
      </c>
      <c r="AZ74" s="1">
        <v>0.25</v>
      </c>
      <c r="BA74" s="1">
        <v>0</v>
      </c>
      <c r="BB74" s="1">
        <v>0</v>
      </c>
      <c r="BC74" s="1">
        <v>0</v>
      </c>
      <c r="BD74" s="1">
        <v>0</v>
      </c>
      <c r="BE74" s="1">
        <v>2</v>
      </c>
      <c r="BG74" s="1" t="s">
        <v>224</v>
      </c>
      <c r="BH74" s="1" t="s">
        <v>210</v>
      </c>
      <c r="BK74" s="1" t="s">
        <v>282</v>
      </c>
      <c r="BO74" s="1" t="s">
        <v>233</v>
      </c>
      <c r="BR74" s="1">
        <v>1</v>
      </c>
      <c r="BS74" s="1">
        <v>0</v>
      </c>
      <c r="BT74" s="1">
        <v>0</v>
      </c>
      <c r="BU74" s="1">
        <v>1</v>
      </c>
      <c r="BV74" s="1">
        <v>1</v>
      </c>
      <c r="BW74" s="1">
        <v>1</v>
      </c>
      <c r="BX74" s="1">
        <v>0</v>
      </c>
      <c r="BZ74" s="1">
        <v>1</v>
      </c>
      <c r="CF74" s="1">
        <f t="shared" si="20"/>
        <v>0</v>
      </c>
      <c r="CH74" s="1">
        <v>2</v>
      </c>
      <c r="CO74" s="1">
        <v>2000</v>
      </c>
      <c r="CV74" s="1">
        <v>2</v>
      </c>
      <c r="DB74" s="7">
        <f t="shared" si="21"/>
        <v>1</v>
      </c>
      <c r="DC74" s="5">
        <f t="shared" si="22"/>
        <v>3</v>
      </c>
      <c r="DE74" s="1">
        <v>3000</v>
      </c>
      <c r="DL74" s="1">
        <v>7</v>
      </c>
      <c r="DR74" s="1">
        <f t="shared" si="23"/>
        <v>7</v>
      </c>
      <c r="DZ74" s="1">
        <f t="shared" si="24"/>
        <v>0</v>
      </c>
      <c r="EC74" s="1">
        <v>1</v>
      </c>
      <c r="EF74" s="1">
        <f t="shared" si="25"/>
        <v>1</v>
      </c>
      <c r="EH74" s="1">
        <v>0</v>
      </c>
      <c r="EN74" s="1">
        <f t="shared" si="26"/>
        <v>0</v>
      </c>
      <c r="EP74" s="1">
        <v>1</v>
      </c>
      <c r="EV74" s="1">
        <f t="shared" si="27"/>
        <v>1</v>
      </c>
      <c r="EX74" s="1">
        <v>1</v>
      </c>
      <c r="FE74" s="1">
        <v>1</v>
      </c>
      <c r="FK74" s="1">
        <f t="shared" si="28"/>
        <v>1</v>
      </c>
      <c r="FM74" s="1">
        <v>0</v>
      </c>
      <c r="FS74" s="1">
        <f t="shared" si="29"/>
        <v>0</v>
      </c>
      <c r="FU74" s="1">
        <v>0</v>
      </c>
      <c r="GA74" s="1">
        <f t="shared" si="30"/>
        <v>0</v>
      </c>
      <c r="GJ74" s="1">
        <v>0</v>
      </c>
      <c r="GP74" s="1">
        <f t="shared" si="31"/>
        <v>0</v>
      </c>
      <c r="GR74" s="1">
        <v>1000</v>
      </c>
      <c r="GX74" s="1">
        <f t="shared" si="32"/>
        <v>1</v>
      </c>
      <c r="GZ74" s="1">
        <v>1</v>
      </c>
      <c r="HF74" s="1">
        <f t="shared" si="33"/>
        <v>1</v>
      </c>
      <c r="HH74" s="1">
        <v>11.3</v>
      </c>
      <c r="HN74" s="1">
        <f t="shared" si="34"/>
        <v>11.3</v>
      </c>
      <c r="HP74" s="1">
        <v>0</v>
      </c>
      <c r="HV74" s="1">
        <f t="shared" si="35"/>
        <v>0</v>
      </c>
      <c r="IK74" s="1">
        <v>0</v>
      </c>
      <c r="IL74" s="1">
        <v>0</v>
      </c>
      <c r="IM74" s="1">
        <v>0</v>
      </c>
      <c r="IN74" s="1">
        <v>80</v>
      </c>
      <c r="IO74" s="1">
        <v>0</v>
      </c>
    </row>
    <row r="75" spans="1:249" x14ac:dyDescent="0.25">
      <c r="A75" s="1">
        <v>74</v>
      </c>
      <c r="B75" s="1" t="s">
        <v>234</v>
      </c>
      <c r="C75" s="1" t="s">
        <v>235</v>
      </c>
      <c r="D75" s="1" t="s">
        <v>236</v>
      </c>
      <c r="E75" s="1" t="s">
        <v>236</v>
      </c>
      <c r="F75" s="1">
        <v>0</v>
      </c>
      <c r="G75" s="1">
        <v>1</v>
      </c>
      <c r="H75" s="1">
        <v>0</v>
      </c>
      <c r="I75" s="1">
        <v>40</v>
      </c>
      <c r="J75" s="1">
        <v>1</v>
      </c>
      <c r="K75" s="1">
        <v>1</v>
      </c>
      <c r="M75" s="1">
        <v>1</v>
      </c>
      <c r="N75" s="1">
        <v>1</v>
      </c>
      <c r="O75" s="1">
        <v>3</v>
      </c>
      <c r="P75" s="1">
        <v>25</v>
      </c>
      <c r="Q75" s="1">
        <v>1000</v>
      </c>
      <c r="R75" s="1">
        <v>0</v>
      </c>
      <c r="T75" s="1">
        <v>1</v>
      </c>
      <c r="U75" s="1">
        <v>600</v>
      </c>
      <c r="V75" s="1">
        <v>0</v>
      </c>
      <c r="X75" s="1">
        <v>5</v>
      </c>
      <c r="Y75" s="1">
        <f t="shared" si="18"/>
        <v>0</v>
      </c>
      <c r="Z75" s="1">
        <f t="shared" si="19"/>
        <v>1</v>
      </c>
      <c r="AA75" s="1">
        <v>11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0</v>
      </c>
      <c r="AI75" s="1">
        <v>1</v>
      </c>
      <c r="AJ75" s="1">
        <v>0</v>
      </c>
      <c r="AK75" s="1">
        <v>0</v>
      </c>
      <c r="AL75" s="1">
        <v>1</v>
      </c>
      <c r="AM75" s="1">
        <v>12</v>
      </c>
      <c r="AO75" s="1">
        <v>1</v>
      </c>
      <c r="AP75" s="1">
        <v>0</v>
      </c>
      <c r="AQ75" s="1">
        <v>0</v>
      </c>
      <c r="AS75" s="1">
        <v>1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4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8</v>
      </c>
      <c r="BG75" s="1" t="s">
        <v>224</v>
      </c>
      <c r="BR75" s="1">
        <v>0</v>
      </c>
      <c r="BS75" s="1">
        <v>0</v>
      </c>
      <c r="BT75" s="1">
        <v>1</v>
      </c>
      <c r="BU75" s="1">
        <v>1</v>
      </c>
      <c r="BV75" s="1">
        <v>1</v>
      </c>
      <c r="BW75" s="1">
        <v>1</v>
      </c>
      <c r="BX75" s="1">
        <v>0</v>
      </c>
      <c r="BZ75" s="1">
        <v>1</v>
      </c>
      <c r="CA75" s="1">
        <v>1</v>
      </c>
      <c r="CC75" s="1">
        <v>1</v>
      </c>
      <c r="CF75" s="1">
        <f t="shared" si="20"/>
        <v>1</v>
      </c>
      <c r="CH75" s="1">
        <v>1</v>
      </c>
      <c r="CI75" s="1">
        <f>1+3/4</f>
        <v>1.75</v>
      </c>
      <c r="CK75" s="1">
        <f>3/4</f>
        <v>0.75</v>
      </c>
      <c r="CO75" s="1">
        <v>1000</v>
      </c>
      <c r="CP75" s="1">
        <v>1200</v>
      </c>
      <c r="CR75" s="1">
        <v>800</v>
      </c>
      <c r="CV75" s="1">
        <v>1</v>
      </c>
      <c r="CW75" s="1">
        <f>1+3/4</f>
        <v>1.75</v>
      </c>
      <c r="CY75" s="1">
        <f>3/4</f>
        <v>0.75</v>
      </c>
      <c r="DB75" s="7">
        <f t="shared" si="21"/>
        <v>0.8571428571428571</v>
      </c>
      <c r="DC75" s="5">
        <f t="shared" si="22"/>
        <v>3</v>
      </c>
      <c r="DE75" s="1">
        <v>3000</v>
      </c>
      <c r="DF75" s="1">
        <v>2800</v>
      </c>
      <c r="DH75" s="1">
        <v>2500</v>
      </c>
      <c r="DL75" s="1">
        <v>7</v>
      </c>
      <c r="DM75" s="1">
        <v>9</v>
      </c>
      <c r="DO75" s="1">
        <v>6</v>
      </c>
      <c r="DR75" s="1">
        <f t="shared" si="23"/>
        <v>9</v>
      </c>
      <c r="DT75" s="1">
        <v>1</v>
      </c>
      <c r="DU75" s="1">
        <v>1</v>
      </c>
      <c r="DZ75" s="1">
        <f t="shared" si="24"/>
        <v>1</v>
      </c>
      <c r="EC75" s="1">
        <v>1</v>
      </c>
      <c r="EF75" s="1">
        <f t="shared" si="25"/>
        <v>1</v>
      </c>
      <c r="EH75" s="1">
        <v>0</v>
      </c>
      <c r="EI75" s="1">
        <v>0</v>
      </c>
      <c r="EK75" s="1">
        <v>0</v>
      </c>
      <c r="EN75" s="1">
        <f t="shared" si="26"/>
        <v>0</v>
      </c>
      <c r="EP75" s="1">
        <v>1</v>
      </c>
      <c r="EQ75" s="1">
        <v>1</v>
      </c>
      <c r="ES75" s="1">
        <v>1</v>
      </c>
      <c r="EV75" s="1">
        <f t="shared" si="27"/>
        <v>1</v>
      </c>
      <c r="EX75" s="1">
        <v>1</v>
      </c>
      <c r="EY75" s="1">
        <v>1</v>
      </c>
      <c r="FA75" s="1">
        <v>1</v>
      </c>
      <c r="FE75" s="1">
        <v>1</v>
      </c>
      <c r="FF75" s="1">
        <v>1</v>
      </c>
      <c r="FH75" s="1">
        <v>1</v>
      </c>
      <c r="FK75" s="1">
        <f t="shared" si="28"/>
        <v>1</v>
      </c>
      <c r="FM75" s="1">
        <v>0</v>
      </c>
      <c r="FN75" s="1">
        <v>0</v>
      </c>
      <c r="FP75" s="1">
        <v>0</v>
      </c>
      <c r="FS75" s="1">
        <f t="shared" si="29"/>
        <v>0</v>
      </c>
      <c r="FU75" s="1">
        <v>0</v>
      </c>
      <c r="FV75" s="1">
        <v>0</v>
      </c>
      <c r="FX75" s="1">
        <v>0</v>
      </c>
      <c r="GA75" s="1">
        <f t="shared" si="30"/>
        <v>0</v>
      </c>
      <c r="GJ75" s="1">
        <v>0</v>
      </c>
      <c r="GK75" s="1">
        <v>0</v>
      </c>
      <c r="GM75" s="1">
        <v>0</v>
      </c>
      <c r="GP75" s="1">
        <f t="shared" si="31"/>
        <v>0</v>
      </c>
      <c r="GR75" s="1">
        <v>4000</v>
      </c>
      <c r="GS75" s="1">
        <v>4000</v>
      </c>
      <c r="GU75" s="1">
        <v>4000</v>
      </c>
      <c r="GX75" s="1">
        <f t="shared" si="32"/>
        <v>12</v>
      </c>
      <c r="GZ75" s="1">
        <v>1</v>
      </c>
      <c r="HA75" s="1">
        <v>1</v>
      </c>
      <c r="HC75" s="1">
        <v>1</v>
      </c>
      <c r="HF75" s="1">
        <f t="shared" si="33"/>
        <v>1</v>
      </c>
      <c r="HH75" s="1">
        <v>10</v>
      </c>
      <c r="HI75" s="1">
        <v>10</v>
      </c>
      <c r="HK75" s="1">
        <v>10</v>
      </c>
      <c r="HN75" s="1">
        <f t="shared" si="34"/>
        <v>10</v>
      </c>
      <c r="HP75" s="1">
        <v>0</v>
      </c>
      <c r="HQ75" s="1">
        <v>0</v>
      </c>
      <c r="HS75" s="1">
        <v>0</v>
      </c>
      <c r="HV75" s="1">
        <f t="shared" si="35"/>
        <v>0</v>
      </c>
      <c r="IK75" s="1">
        <v>0</v>
      </c>
      <c r="IL75" s="1">
        <v>56</v>
      </c>
      <c r="IM75" s="1">
        <v>28</v>
      </c>
      <c r="IN75" s="1">
        <v>84</v>
      </c>
      <c r="IO75" s="1">
        <v>0</v>
      </c>
    </row>
    <row r="76" spans="1:249" x14ac:dyDescent="0.25">
      <c r="A76" s="1">
        <v>75</v>
      </c>
      <c r="B76" s="1" t="s">
        <v>237</v>
      </c>
      <c r="C76" s="1" t="s">
        <v>194</v>
      </c>
      <c r="D76" s="1" t="s">
        <v>222</v>
      </c>
      <c r="E76" s="1" t="s">
        <v>255</v>
      </c>
      <c r="F76" s="1">
        <v>0</v>
      </c>
      <c r="G76" s="1">
        <v>1</v>
      </c>
      <c r="H76" s="1">
        <v>0</v>
      </c>
      <c r="I76" s="1">
        <v>40</v>
      </c>
      <c r="J76" s="1">
        <v>1</v>
      </c>
      <c r="K76" s="1">
        <v>1</v>
      </c>
      <c r="M76" s="1">
        <v>0</v>
      </c>
      <c r="N76" s="1">
        <v>1</v>
      </c>
      <c r="O76" s="1">
        <v>3</v>
      </c>
      <c r="P76" s="1">
        <v>15</v>
      </c>
      <c r="Q76" s="1">
        <v>900</v>
      </c>
      <c r="R76" s="1">
        <v>1</v>
      </c>
      <c r="S76" s="1" t="s">
        <v>309</v>
      </c>
      <c r="T76" s="1">
        <v>1</v>
      </c>
      <c r="U76" s="1">
        <v>400</v>
      </c>
      <c r="V76" s="1">
        <v>1</v>
      </c>
      <c r="W76" s="1" t="s">
        <v>240</v>
      </c>
      <c r="X76" s="1">
        <v>3</v>
      </c>
      <c r="Y76" s="1">
        <f t="shared" si="18"/>
        <v>1</v>
      </c>
      <c r="Z76" s="1">
        <f t="shared" si="19"/>
        <v>0</v>
      </c>
      <c r="AA76" s="1">
        <v>7</v>
      </c>
      <c r="AC76" s="1">
        <v>0</v>
      </c>
      <c r="AD76" s="1">
        <v>0</v>
      </c>
      <c r="AE76" s="1">
        <v>1</v>
      </c>
      <c r="AF76" s="1">
        <v>1</v>
      </c>
      <c r="AG76" s="1">
        <v>1</v>
      </c>
      <c r="AH76" s="1">
        <v>0</v>
      </c>
      <c r="AI76" s="1">
        <v>1</v>
      </c>
      <c r="AJ76" s="1">
        <v>0</v>
      </c>
      <c r="AK76" s="1">
        <v>0</v>
      </c>
      <c r="AL76" s="1">
        <v>0</v>
      </c>
      <c r="AM76" s="1">
        <v>5</v>
      </c>
      <c r="AO76" s="1">
        <v>1</v>
      </c>
      <c r="AP76" s="1">
        <v>0</v>
      </c>
      <c r="AQ76" s="1">
        <v>0</v>
      </c>
      <c r="AS76" s="1">
        <v>1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2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G76" s="1" t="s">
        <v>224</v>
      </c>
      <c r="BO76" s="1" t="s">
        <v>233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1</v>
      </c>
      <c r="BX76" s="1">
        <v>0</v>
      </c>
      <c r="BZ76" s="1">
        <v>1</v>
      </c>
      <c r="CF76" s="1">
        <f t="shared" si="20"/>
        <v>0</v>
      </c>
      <c r="CH76" s="1">
        <v>2</v>
      </c>
      <c r="CO76" s="1">
        <v>1200</v>
      </c>
      <c r="CV76" s="1">
        <v>1</v>
      </c>
      <c r="DB76" s="7">
        <f t="shared" si="21"/>
        <v>1.2</v>
      </c>
      <c r="DC76" s="5">
        <f t="shared" si="22"/>
        <v>3</v>
      </c>
      <c r="DE76" s="1">
        <v>3100</v>
      </c>
      <c r="DL76" s="1">
        <v>5</v>
      </c>
      <c r="DR76" s="1">
        <f t="shared" si="23"/>
        <v>5</v>
      </c>
      <c r="DZ76" s="1">
        <f t="shared" si="24"/>
        <v>0</v>
      </c>
      <c r="EC76" s="1">
        <v>1</v>
      </c>
      <c r="EF76" s="1">
        <f t="shared" si="25"/>
        <v>1</v>
      </c>
      <c r="EH76" s="1">
        <v>0</v>
      </c>
      <c r="EN76" s="1">
        <f t="shared" si="26"/>
        <v>0</v>
      </c>
      <c r="EP76" s="1">
        <v>1</v>
      </c>
      <c r="EV76" s="1">
        <f t="shared" si="27"/>
        <v>1</v>
      </c>
      <c r="EX76" s="1">
        <v>1</v>
      </c>
      <c r="FE76" s="1">
        <v>1</v>
      </c>
      <c r="FK76" s="1">
        <f t="shared" si="28"/>
        <v>1</v>
      </c>
      <c r="FM76" s="1">
        <v>0</v>
      </c>
      <c r="FS76" s="1">
        <f t="shared" si="29"/>
        <v>0</v>
      </c>
      <c r="FU76" s="1">
        <v>0</v>
      </c>
      <c r="GA76" s="1">
        <f t="shared" si="30"/>
        <v>0</v>
      </c>
      <c r="GJ76" s="1">
        <v>0</v>
      </c>
      <c r="GP76" s="1">
        <f t="shared" si="31"/>
        <v>0</v>
      </c>
      <c r="GR76" s="1">
        <v>2000</v>
      </c>
      <c r="GX76" s="1">
        <f t="shared" si="32"/>
        <v>2</v>
      </c>
      <c r="GZ76" s="1">
        <v>1</v>
      </c>
      <c r="HF76" s="1">
        <f t="shared" si="33"/>
        <v>1</v>
      </c>
      <c r="HH76" s="1">
        <v>13</v>
      </c>
      <c r="HN76" s="1">
        <f t="shared" si="34"/>
        <v>13</v>
      </c>
      <c r="HP76" s="1">
        <v>0</v>
      </c>
      <c r="HV76" s="1">
        <f t="shared" si="35"/>
        <v>0</v>
      </c>
      <c r="IK76" s="1">
        <v>0</v>
      </c>
      <c r="IL76" s="1">
        <v>80</v>
      </c>
      <c r="IM76" s="1">
        <v>0</v>
      </c>
      <c r="IN76" s="1">
        <v>80</v>
      </c>
      <c r="IO76" s="1">
        <v>0</v>
      </c>
    </row>
    <row r="77" spans="1:249" x14ac:dyDescent="0.25">
      <c r="A77" s="1">
        <v>76</v>
      </c>
      <c r="B77" s="1" t="s">
        <v>237</v>
      </c>
      <c r="C77" s="1" t="s">
        <v>194</v>
      </c>
      <c r="D77" s="1" t="s">
        <v>222</v>
      </c>
      <c r="E77" s="1" t="s">
        <v>285</v>
      </c>
      <c r="F77" s="1">
        <v>0</v>
      </c>
      <c r="G77" s="1">
        <v>1</v>
      </c>
      <c r="H77" s="1">
        <v>0</v>
      </c>
      <c r="I77" s="1">
        <v>50</v>
      </c>
      <c r="J77" s="1">
        <v>0</v>
      </c>
      <c r="K77" s="1">
        <v>1</v>
      </c>
      <c r="M77" s="1">
        <v>0</v>
      </c>
      <c r="N77" s="1">
        <v>1</v>
      </c>
      <c r="O77" s="1">
        <v>1</v>
      </c>
      <c r="P77" s="1">
        <v>30</v>
      </c>
      <c r="Q77" s="1">
        <v>700</v>
      </c>
      <c r="R77" s="1">
        <v>0</v>
      </c>
      <c r="T77" s="1">
        <v>1</v>
      </c>
      <c r="U77" s="1">
        <v>600</v>
      </c>
      <c r="V77" s="1">
        <v>1</v>
      </c>
      <c r="W77" s="1" t="s">
        <v>240</v>
      </c>
      <c r="X77" s="1">
        <v>0</v>
      </c>
      <c r="Y77" s="1">
        <f t="shared" si="18"/>
        <v>0</v>
      </c>
      <c r="Z77" s="1">
        <f t="shared" si="19"/>
        <v>0</v>
      </c>
      <c r="AA77" s="1">
        <v>0</v>
      </c>
      <c r="AC77" s="1">
        <v>0</v>
      </c>
      <c r="AD77" s="1">
        <v>0</v>
      </c>
      <c r="AE77" s="1">
        <v>1</v>
      </c>
      <c r="AF77" s="1">
        <v>1</v>
      </c>
      <c r="AG77" s="1">
        <v>1</v>
      </c>
      <c r="AH77" s="1">
        <v>0</v>
      </c>
      <c r="AI77" s="1">
        <v>1</v>
      </c>
      <c r="AJ77" s="1">
        <v>0</v>
      </c>
      <c r="AK77" s="1">
        <v>0</v>
      </c>
      <c r="AL77" s="1">
        <v>0</v>
      </c>
      <c r="AM77" s="1">
        <v>4</v>
      </c>
      <c r="AO77" s="1">
        <v>1</v>
      </c>
      <c r="AP77" s="1">
        <v>0</v>
      </c>
      <c r="AQ77" s="1">
        <v>0</v>
      </c>
      <c r="AS77" s="1">
        <v>1</v>
      </c>
      <c r="AT77" s="1">
        <v>1</v>
      </c>
      <c r="AU77" s="1">
        <v>0</v>
      </c>
      <c r="AV77" s="1">
        <v>0</v>
      </c>
      <c r="AW77" s="1">
        <v>0</v>
      </c>
      <c r="AX77" s="1">
        <v>0</v>
      </c>
      <c r="AY77" s="1">
        <v>2</v>
      </c>
      <c r="AZ77" s="1">
        <v>1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G77" s="1" t="s">
        <v>224</v>
      </c>
      <c r="BO77" s="1" t="s">
        <v>233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1</v>
      </c>
      <c r="BX77" s="1">
        <v>1</v>
      </c>
      <c r="BZ77" s="1">
        <v>1</v>
      </c>
      <c r="CA77" s="1">
        <v>1</v>
      </c>
      <c r="CF77" s="1">
        <f t="shared" si="20"/>
        <v>1</v>
      </c>
      <c r="CH77" s="1">
        <v>1</v>
      </c>
      <c r="CI77" s="1">
        <v>1</v>
      </c>
      <c r="CO77" s="1">
        <v>1500</v>
      </c>
      <c r="CP77" s="1">
        <v>1500</v>
      </c>
      <c r="CV77" s="1">
        <v>1</v>
      </c>
      <c r="CW77" s="1">
        <v>1</v>
      </c>
      <c r="DB77" s="7">
        <f t="shared" si="21"/>
        <v>1.5</v>
      </c>
      <c r="DC77" s="5">
        <f t="shared" si="22"/>
        <v>3</v>
      </c>
      <c r="DE77" s="1">
        <v>3100</v>
      </c>
      <c r="DF77" s="1">
        <v>3100</v>
      </c>
      <c r="DL77" s="1">
        <v>3</v>
      </c>
      <c r="DM77" s="1">
        <v>3</v>
      </c>
      <c r="DR77" s="1">
        <f t="shared" si="23"/>
        <v>3</v>
      </c>
      <c r="DZ77" s="1">
        <f t="shared" si="24"/>
        <v>0</v>
      </c>
      <c r="EC77" s="1">
        <v>1</v>
      </c>
      <c r="EF77" s="1">
        <f t="shared" si="25"/>
        <v>1</v>
      </c>
      <c r="EH77" s="1">
        <v>0</v>
      </c>
      <c r="EI77" s="1">
        <v>0</v>
      </c>
      <c r="EN77" s="1">
        <f t="shared" si="26"/>
        <v>0</v>
      </c>
      <c r="EP77" s="1">
        <v>1</v>
      </c>
      <c r="EQ77" s="1">
        <v>1</v>
      </c>
      <c r="EV77" s="1">
        <f t="shared" si="27"/>
        <v>1</v>
      </c>
      <c r="EX77" s="1">
        <v>1</v>
      </c>
      <c r="EY77" s="1">
        <v>1</v>
      </c>
      <c r="FE77" s="1">
        <v>1</v>
      </c>
      <c r="FF77" s="1">
        <v>1</v>
      </c>
      <c r="FK77" s="1">
        <f t="shared" si="28"/>
        <v>1</v>
      </c>
      <c r="FM77" s="1">
        <v>0</v>
      </c>
      <c r="FN77" s="1">
        <v>0</v>
      </c>
      <c r="FS77" s="1">
        <f t="shared" si="29"/>
        <v>0</v>
      </c>
      <c r="FU77" s="1">
        <v>0</v>
      </c>
      <c r="FV77" s="1">
        <v>0</v>
      </c>
      <c r="GA77" s="1">
        <f t="shared" si="30"/>
        <v>0</v>
      </c>
      <c r="GJ77" s="1">
        <v>0</v>
      </c>
      <c r="GK77" s="1">
        <v>0</v>
      </c>
      <c r="GP77" s="1">
        <f t="shared" si="31"/>
        <v>0</v>
      </c>
      <c r="GR77" s="1">
        <v>1500</v>
      </c>
      <c r="GS77" s="1">
        <v>1500</v>
      </c>
      <c r="GX77" s="1">
        <f t="shared" si="32"/>
        <v>3</v>
      </c>
      <c r="GZ77" s="1">
        <v>1</v>
      </c>
      <c r="HA77" s="1">
        <v>1</v>
      </c>
      <c r="HF77" s="1">
        <f t="shared" si="33"/>
        <v>1</v>
      </c>
      <c r="HH77" s="1">
        <v>13</v>
      </c>
      <c r="HI77" s="1">
        <v>13</v>
      </c>
      <c r="HN77" s="1">
        <f t="shared" si="34"/>
        <v>13</v>
      </c>
      <c r="HP77" s="1">
        <v>0</v>
      </c>
      <c r="HQ77" s="1">
        <v>0</v>
      </c>
      <c r="HV77" s="1">
        <f t="shared" si="35"/>
        <v>0</v>
      </c>
      <c r="IK77" s="1">
        <v>0</v>
      </c>
      <c r="IL77" s="1">
        <v>0</v>
      </c>
      <c r="IM77" s="1">
        <v>0</v>
      </c>
      <c r="IN77" s="1">
        <v>48</v>
      </c>
      <c r="IO77" s="1">
        <v>32</v>
      </c>
    </row>
    <row r="78" spans="1:249" x14ac:dyDescent="0.25">
      <c r="A78" s="1">
        <v>77</v>
      </c>
      <c r="B78" s="1" t="s">
        <v>237</v>
      </c>
      <c r="C78" s="1" t="s">
        <v>194</v>
      </c>
      <c r="D78" s="1" t="s">
        <v>222</v>
      </c>
      <c r="E78" s="1" t="s">
        <v>285</v>
      </c>
      <c r="F78" s="1">
        <v>0</v>
      </c>
      <c r="G78" s="1">
        <v>1</v>
      </c>
      <c r="H78" s="1">
        <v>0</v>
      </c>
      <c r="I78" s="1">
        <v>35</v>
      </c>
      <c r="J78" s="1">
        <v>1</v>
      </c>
      <c r="K78" s="1">
        <v>1</v>
      </c>
      <c r="M78" s="1">
        <v>0</v>
      </c>
      <c r="N78" s="1">
        <v>1</v>
      </c>
      <c r="O78" s="1">
        <v>3</v>
      </c>
      <c r="P78" s="1">
        <v>15</v>
      </c>
      <c r="Q78" s="1">
        <v>700</v>
      </c>
      <c r="R78" s="1">
        <v>1</v>
      </c>
      <c r="S78" s="1" t="s">
        <v>309</v>
      </c>
      <c r="T78" s="1">
        <v>1</v>
      </c>
      <c r="U78" s="1">
        <v>350</v>
      </c>
      <c r="V78" s="1">
        <v>1</v>
      </c>
      <c r="W78" s="1" t="s">
        <v>240</v>
      </c>
      <c r="X78" s="1">
        <v>5</v>
      </c>
      <c r="Y78" s="1">
        <f t="shared" si="18"/>
        <v>0</v>
      </c>
      <c r="Z78" s="1">
        <f t="shared" si="19"/>
        <v>1</v>
      </c>
      <c r="AA78" s="1">
        <v>10</v>
      </c>
      <c r="AC78" s="1">
        <v>0</v>
      </c>
      <c r="AD78" s="1">
        <v>0</v>
      </c>
      <c r="AE78" s="1">
        <v>1</v>
      </c>
      <c r="AF78" s="1">
        <v>1</v>
      </c>
      <c r="AG78" s="1">
        <v>1</v>
      </c>
      <c r="AH78" s="1">
        <v>0</v>
      </c>
      <c r="AI78" s="1">
        <v>1</v>
      </c>
      <c r="AJ78" s="1">
        <v>0</v>
      </c>
      <c r="AK78" s="1">
        <v>0</v>
      </c>
      <c r="AL78" s="1">
        <v>0</v>
      </c>
      <c r="AM78" s="1">
        <v>4</v>
      </c>
      <c r="AO78" s="1">
        <v>1</v>
      </c>
      <c r="AP78" s="1">
        <v>0</v>
      </c>
      <c r="AQ78" s="1">
        <v>0</v>
      </c>
      <c r="AS78" s="1">
        <v>1</v>
      </c>
      <c r="AT78" s="1">
        <v>1</v>
      </c>
      <c r="AU78" s="1">
        <v>0</v>
      </c>
      <c r="AV78" s="1">
        <v>0</v>
      </c>
      <c r="AW78" s="1">
        <v>0</v>
      </c>
      <c r="AX78" s="1">
        <v>0</v>
      </c>
      <c r="AY78" s="1">
        <v>1</v>
      </c>
      <c r="AZ78" s="1">
        <v>1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G78" s="1" t="s">
        <v>224</v>
      </c>
      <c r="BO78" s="1" t="s">
        <v>233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1</v>
      </c>
      <c r="BX78" s="1">
        <v>0</v>
      </c>
      <c r="BZ78" s="1">
        <v>1</v>
      </c>
      <c r="CA78" s="1">
        <v>1</v>
      </c>
      <c r="CF78" s="1">
        <f t="shared" si="20"/>
        <v>1</v>
      </c>
      <c r="CH78" s="1">
        <v>1</v>
      </c>
      <c r="CI78" s="1">
        <v>1</v>
      </c>
      <c r="CO78" s="1">
        <v>1000</v>
      </c>
      <c r="CV78" s="1">
        <v>1</v>
      </c>
      <c r="DB78" s="7">
        <f t="shared" si="21"/>
        <v>1</v>
      </c>
      <c r="DC78" s="5">
        <f t="shared" si="22"/>
        <v>3</v>
      </c>
      <c r="DE78" s="1">
        <v>3100</v>
      </c>
      <c r="DL78" s="1">
        <v>3</v>
      </c>
      <c r="DR78" s="1">
        <f t="shared" si="23"/>
        <v>3</v>
      </c>
      <c r="DZ78" s="1">
        <f t="shared" si="24"/>
        <v>0</v>
      </c>
      <c r="EC78" s="1">
        <v>1</v>
      </c>
      <c r="EF78" s="1">
        <f t="shared" si="25"/>
        <v>1</v>
      </c>
      <c r="EH78" s="1">
        <v>0</v>
      </c>
      <c r="EI78" s="1">
        <v>0</v>
      </c>
      <c r="EN78" s="1">
        <f t="shared" si="26"/>
        <v>0</v>
      </c>
      <c r="EP78" s="1">
        <v>1</v>
      </c>
      <c r="EQ78" s="1">
        <v>0</v>
      </c>
      <c r="EV78" s="1">
        <f t="shared" si="27"/>
        <v>1</v>
      </c>
      <c r="EX78" s="1">
        <v>1</v>
      </c>
      <c r="EY78" s="1">
        <v>0</v>
      </c>
      <c r="FE78" s="1">
        <v>1</v>
      </c>
      <c r="FF78" s="1">
        <v>0</v>
      </c>
      <c r="FK78" s="1">
        <f t="shared" si="28"/>
        <v>1</v>
      </c>
      <c r="FM78" s="1">
        <v>0</v>
      </c>
      <c r="FN78" s="1">
        <v>0</v>
      </c>
      <c r="FS78" s="1">
        <f t="shared" si="29"/>
        <v>0</v>
      </c>
      <c r="FU78" s="1">
        <v>0</v>
      </c>
      <c r="FV78" s="1">
        <v>0</v>
      </c>
      <c r="GA78" s="1">
        <f t="shared" si="30"/>
        <v>0</v>
      </c>
      <c r="GJ78" s="1">
        <v>0</v>
      </c>
      <c r="GK78" s="1">
        <v>0</v>
      </c>
      <c r="GP78" s="1">
        <f t="shared" si="31"/>
        <v>0</v>
      </c>
      <c r="GR78" s="1">
        <v>2000</v>
      </c>
      <c r="GX78" s="1">
        <f t="shared" si="32"/>
        <v>2</v>
      </c>
      <c r="GZ78" s="1">
        <v>1</v>
      </c>
      <c r="HF78" s="1">
        <f t="shared" si="33"/>
        <v>1</v>
      </c>
      <c r="HH78" s="1">
        <v>13</v>
      </c>
      <c r="HN78" s="1">
        <f t="shared" si="34"/>
        <v>13</v>
      </c>
      <c r="HP78" s="1">
        <v>0</v>
      </c>
      <c r="HV78" s="1">
        <f t="shared" si="35"/>
        <v>0</v>
      </c>
      <c r="IK78" s="1">
        <v>0</v>
      </c>
      <c r="IL78" s="1">
        <v>0</v>
      </c>
      <c r="IM78" s="1">
        <v>0</v>
      </c>
      <c r="IN78" s="1">
        <v>48</v>
      </c>
      <c r="IO78" s="1">
        <v>0</v>
      </c>
    </row>
    <row r="79" spans="1:249" x14ac:dyDescent="0.25">
      <c r="A79" s="1">
        <v>78</v>
      </c>
      <c r="B79" s="1" t="s">
        <v>237</v>
      </c>
      <c r="C79" s="1" t="s">
        <v>194</v>
      </c>
      <c r="D79" s="1" t="s">
        <v>222</v>
      </c>
      <c r="E79" s="1" t="s">
        <v>285</v>
      </c>
      <c r="F79" s="1">
        <v>0</v>
      </c>
      <c r="G79" s="1">
        <v>1</v>
      </c>
      <c r="H79" s="1">
        <v>0</v>
      </c>
      <c r="I79" s="1">
        <v>53</v>
      </c>
      <c r="J79" s="1">
        <v>1</v>
      </c>
      <c r="K79" s="1">
        <v>1</v>
      </c>
      <c r="M79" s="1">
        <v>0</v>
      </c>
      <c r="N79" s="1">
        <v>1</v>
      </c>
      <c r="O79" s="1">
        <v>4</v>
      </c>
      <c r="P79" s="1">
        <v>40</v>
      </c>
      <c r="Q79" s="1">
        <v>700</v>
      </c>
      <c r="R79" s="1">
        <v>1</v>
      </c>
      <c r="S79" s="1" t="s">
        <v>309</v>
      </c>
      <c r="T79" s="1">
        <v>1</v>
      </c>
      <c r="U79" s="1">
        <v>350</v>
      </c>
      <c r="V79" s="1">
        <v>1</v>
      </c>
      <c r="W79" s="1" t="s">
        <v>240</v>
      </c>
      <c r="X79" s="1">
        <v>0</v>
      </c>
      <c r="Y79" s="1">
        <f t="shared" si="18"/>
        <v>0</v>
      </c>
      <c r="Z79" s="1">
        <f t="shared" si="19"/>
        <v>0</v>
      </c>
      <c r="AA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1</v>
      </c>
      <c r="AH79" s="1">
        <v>0</v>
      </c>
      <c r="AI79" s="1">
        <v>1</v>
      </c>
      <c r="AJ79" s="1">
        <v>0</v>
      </c>
      <c r="AK79" s="1">
        <v>0</v>
      </c>
      <c r="AL79" s="1">
        <v>0</v>
      </c>
      <c r="AM79" s="1">
        <v>3</v>
      </c>
      <c r="AO79" s="1">
        <v>1</v>
      </c>
      <c r="AP79" s="1">
        <v>0</v>
      </c>
      <c r="AQ79" s="1">
        <v>0</v>
      </c>
      <c r="AS79" s="1">
        <v>1</v>
      </c>
      <c r="AT79" s="1">
        <v>1</v>
      </c>
      <c r="AU79" s="1">
        <v>0</v>
      </c>
      <c r="AV79" s="1">
        <v>0</v>
      </c>
      <c r="AW79" s="1">
        <v>0</v>
      </c>
      <c r="AX79" s="1">
        <v>0</v>
      </c>
      <c r="AY79" s="1">
        <v>1</v>
      </c>
      <c r="AZ79" s="1">
        <v>1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G79" s="1" t="s">
        <v>224</v>
      </c>
      <c r="BO79" s="1" t="s">
        <v>233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1</v>
      </c>
      <c r="BX79" s="1">
        <v>0</v>
      </c>
      <c r="BZ79" s="1">
        <v>1</v>
      </c>
      <c r="CA79" s="1">
        <v>1</v>
      </c>
      <c r="CF79" s="1">
        <f t="shared" si="20"/>
        <v>1</v>
      </c>
      <c r="CH79" s="1">
        <v>1</v>
      </c>
      <c r="CI79" s="1">
        <v>1</v>
      </c>
      <c r="CO79" s="1">
        <v>1000</v>
      </c>
      <c r="CP79" s="1">
        <v>1200</v>
      </c>
      <c r="CV79" s="1">
        <v>1</v>
      </c>
      <c r="CW79" s="1">
        <v>1</v>
      </c>
      <c r="DB79" s="7">
        <f t="shared" si="21"/>
        <v>1.1000000000000001</v>
      </c>
      <c r="DC79" s="5">
        <f t="shared" si="22"/>
        <v>3</v>
      </c>
      <c r="DE79" s="1">
        <v>3100</v>
      </c>
      <c r="DF79" s="1">
        <v>3100</v>
      </c>
      <c r="DL79" s="1">
        <v>3</v>
      </c>
      <c r="DM79" s="1">
        <v>3</v>
      </c>
      <c r="DR79" s="1">
        <f t="shared" si="23"/>
        <v>3</v>
      </c>
      <c r="DZ79" s="1">
        <f t="shared" si="24"/>
        <v>0</v>
      </c>
      <c r="EC79" s="1">
        <v>1</v>
      </c>
      <c r="EF79" s="1">
        <f t="shared" si="25"/>
        <v>1</v>
      </c>
      <c r="EH79" s="1">
        <v>0</v>
      </c>
      <c r="EI79" s="1">
        <v>0</v>
      </c>
      <c r="EN79" s="1">
        <f t="shared" si="26"/>
        <v>0</v>
      </c>
      <c r="EP79" s="1">
        <v>1</v>
      </c>
      <c r="EQ79" s="1">
        <v>1</v>
      </c>
      <c r="EV79" s="1">
        <f t="shared" si="27"/>
        <v>1</v>
      </c>
      <c r="EX79" s="1">
        <v>1</v>
      </c>
      <c r="EY79" s="1">
        <v>1</v>
      </c>
      <c r="FE79" s="1">
        <v>1</v>
      </c>
      <c r="FF79" s="1">
        <v>1</v>
      </c>
      <c r="FK79" s="1">
        <f t="shared" si="28"/>
        <v>1</v>
      </c>
      <c r="FM79" s="1">
        <v>0</v>
      </c>
      <c r="FN79" s="1">
        <v>0</v>
      </c>
      <c r="FS79" s="1">
        <f t="shared" si="29"/>
        <v>0</v>
      </c>
      <c r="FU79" s="1">
        <v>0</v>
      </c>
      <c r="FV79" s="1">
        <v>0</v>
      </c>
      <c r="GA79" s="1">
        <f t="shared" si="30"/>
        <v>0</v>
      </c>
      <c r="GJ79" s="1">
        <v>0</v>
      </c>
      <c r="GK79" s="1">
        <v>0</v>
      </c>
      <c r="GP79" s="1">
        <f t="shared" si="31"/>
        <v>0</v>
      </c>
      <c r="GR79" s="1">
        <v>2000</v>
      </c>
      <c r="GS79" s="1">
        <v>2000</v>
      </c>
      <c r="GX79" s="1">
        <f t="shared" si="32"/>
        <v>4</v>
      </c>
      <c r="GZ79" s="1">
        <v>1</v>
      </c>
      <c r="HA79" s="1">
        <v>1</v>
      </c>
      <c r="HF79" s="1">
        <f t="shared" si="33"/>
        <v>1</v>
      </c>
      <c r="HH79" s="1">
        <v>13</v>
      </c>
      <c r="HI79" s="1">
        <v>13</v>
      </c>
      <c r="HN79" s="1">
        <f t="shared" si="34"/>
        <v>13</v>
      </c>
      <c r="HP79" s="1">
        <v>0</v>
      </c>
      <c r="HQ79" s="1">
        <v>0</v>
      </c>
      <c r="HV79" s="1">
        <f t="shared" si="35"/>
        <v>0</v>
      </c>
      <c r="IK79" s="1">
        <v>0</v>
      </c>
      <c r="IL79" s="1">
        <v>0</v>
      </c>
      <c r="IM79" s="1">
        <v>0</v>
      </c>
      <c r="IN79" s="1">
        <v>48</v>
      </c>
      <c r="IO79" s="1">
        <v>0</v>
      </c>
    </row>
    <row r="80" spans="1:249" x14ac:dyDescent="0.25">
      <c r="A80" s="1">
        <v>79</v>
      </c>
      <c r="B80" s="1" t="s">
        <v>237</v>
      </c>
      <c r="C80" s="1" t="s">
        <v>194</v>
      </c>
      <c r="D80" s="1" t="s">
        <v>285</v>
      </c>
      <c r="E80" s="1" t="s">
        <v>285</v>
      </c>
      <c r="F80" s="1">
        <v>0</v>
      </c>
      <c r="G80" s="1">
        <v>1</v>
      </c>
      <c r="H80" s="1">
        <v>0</v>
      </c>
      <c r="I80" s="1">
        <v>50</v>
      </c>
      <c r="J80" s="1">
        <v>1</v>
      </c>
      <c r="K80" s="1">
        <v>1</v>
      </c>
      <c r="M80" s="1">
        <v>0</v>
      </c>
      <c r="N80" s="1">
        <v>1</v>
      </c>
      <c r="O80" s="1">
        <v>3</v>
      </c>
      <c r="P80" s="1">
        <v>30</v>
      </c>
      <c r="Q80" s="1">
        <v>900</v>
      </c>
      <c r="R80" s="1">
        <v>1</v>
      </c>
      <c r="S80" s="1" t="s">
        <v>309</v>
      </c>
      <c r="T80" s="1">
        <v>1</v>
      </c>
      <c r="U80" s="1">
        <v>300</v>
      </c>
      <c r="V80" s="1">
        <v>1</v>
      </c>
      <c r="W80" s="1" t="s">
        <v>240</v>
      </c>
      <c r="X80" s="1">
        <v>0</v>
      </c>
      <c r="Y80" s="1">
        <f t="shared" si="18"/>
        <v>0</v>
      </c>
      <c r="Z80" s="1">
        <f t="shared" si="19"/>
        <v>0</v>
      </c>
      <c r="AA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1</v>
      </c>
      <c r="AH80" s="1">
        <v>0</v>
      </c>
      <c r="AI80" s="1">
        <v>1</v>
      </c>
      <c r="AJ80" s="1">
        <v>0</v>
      </c>
      <c r="AK80" s="1">
        <v>0</v>
      </c>
      <c r="AL80" s="1">
        <v>0</v>
      </c>
      <c r="AM80" s="1">
        <v>2</v>
      </c>
      <c r="AO80" s="1">
        <v>1</v>
      </c>
      <c r="AP80" s="1">
        <v>0</v>
      </c>
      <c r="AQ80" s="1">
        <v>0</v>
      </c>
      <c r="AS80" s="1">
        <v>1</v>
      </c>
      <c r="AT80" s="1">
        <v>1</v>
      </c>
      <c r="AU80" s="1">
        <v>0</v>
      </c>
      <c r="AV80" s="1">
        <v>0</v>
      </c>
      <c r="AW80" s="1">
        <v>0</v>
      </c>
      <c r="AX80" s="1">
        <v>0</v>
      </c>
      <c r="AY80" s="1">
        <v>1</v>
      </c>
      <c r="AZ80" s="1">
        <v>2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G80" s="1" t="s">
        <v>224</v>
      </c>
      <c r="BH80" s="1" t="s">
        <v>225</v>
      </c>
      <c r="BO80" s="1" t="s">
        <v>233</v>
      </c>
      <c r="BR80" s="1">
        <v>1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  <c r="BX80" s="1">
        <v>0</v>
      </c>
      <c r="BZ80" s="1">
        <v>1</v>
      </c>
      <c r="CF80" s="1">
        <f t="shared" si="20"/>
        <v>0</v>
      </c>
      <c r="CH80" s="1">
        <v>2</v>
      </c>
      <c r="CO80" s="1">
        <v>1500</v>
      </c>
      <c r="CV80" s="1">
        <v>1</v>
      </c>
      <c r="DB80" s="7">
        <f t="shared" si="21"/>
        <v>1.5</v>
      </c>
      <c r="DC80" s="5">
        <f t="shared" si="22"/>
        <v>3</v>
      </c>
      <c r="DE80" s="1">
        <v>3100</v>
      </c>
      <c r="DL80" s="1">
        <v>4</v>
      </c>
      <c r="DR80" s="1">
        <f t="shared" si="23"/>
        <v>4</v>
      </c>
      <c r="DZ80" s="1">
        <f t="shared" si="24"/>
        <v>0</v>
      </c>
      <c r="EC80" s="1">
        <v>1</v>
      </c>
      <c r="EF80" s="1">
        <f t="shared" si="25"/>
        <v>1</v>
      </c>
      <c r="EH80" s="1">
        <v>0</v>
      </c>
      <c r="EN80" s="1">
        <f t="shared" si="26"/>
        <v>0</v>
      </c>
      <c r="EP80" s="1">
        <v>1</v>
      </c>
      <c r="EV80" s="1">
        <f t="shared" si="27"/>
        <v>1</v>
      </c>
      <c r="EX80" s="1">
        <v>1</v>
      </c>
      <c r="FE80" s="1">
        <v>1</v>
      </c>
      <c r="FK80" s="1">
        <f t="shared" si="28"/>
        <v>1</v>
      </c>
      <c r="FM80" s="1">
        <v>0</v>
      </c>
      <c r="FS80" s="1">
        <f t="shared" si="29"/>
        <v>0</v>
      </c>
      <c r="FU80" s="1">
        <v>0</v>
      </c>
      <c r="GA80" s="1">
        <f t="shared" si="30"/>
        <v>0</v>
      </c>
      <c r="GJ80" s="1">
        <v>0</v>
      </c>
      <c r="GP80" s="1">
        <f t="shared" si="31"/>
        <v>0</v>
      </c>
      <c r="GR80" s="1">
        <v>2000</v>
      </c>
      <c r="GX80" s="1">
        <f t="shared" si="32"/>
        <v>2</v>
      </c>
      <c r="GZ80" s="1">
        <v>1</v>
      </c>
      <c r="HF80" s="1">
        <f t="shared" si="33"/>
        <v>1</v>
      </c>
      <c r="HH80" s="1">
        <v>13</v>
      </c>
      <c r="HN80" s="1">
        <f t="shared" si="34"/>
        <v>13</v>
      </c>
      <c r="HP80" s="1">
        <v>0</v>
      </c>
      <c r="HV80" s="1">
        <f t="shared" si="35"/>
        <v>0</v>
      </c>
      <c r="IK80" s="1">
        <v>0</v>
      </c>
      <c r="IL80" s="1">
        <v>0</v>
      </c>
      <c r="IM80" s="1">
        <v>0</v>
      </c>
      <c r="IN80" s="1">
        <v>80</v>
      </c>
      <c r="IO80" s="1">
        <v>0</v>
      </c>
    </row>
    <row r="81" spans="1:249" x14ac:dyDescent="0.25">
      <c r="A81" s="1">
        <v>80</v>
      </c>
      <c r="B81" s="1" t="s">
        <v>237</v>
      </c>
      <c r="C81" s="1" t="s">
        <v>194</v>
      </c>
      <c r="D81" s="1" t="s">
        <v>222</v>
      </c>
      <c r="E81" s="1" t="s">
        <v>285</v>
      </c>
      <c r="F81" s="1">
        <v>0</v>
      </c>
      <c r="G81" s="1">
        <v>1</v>
      </c>
      <c r="H81" s="1">
        <v>0</v>
      </c>
      <c r="I81" s="1">
        <v>55</v>
      </c>
      <c r="J81" s="1">
        <v>1</v>
      </c>
      <c r="K81" s="1">
        <v>1</v>
      </c>
      <c r="M81" s="1">
        <v>0</v>
      </c>
      <c r="N81" s="1">
        <v>1</v>
      </c>
      <c r="O81" s="1">
        <v>2</v>
      </c>
      <c r="P81" s="1">
        <v>20</v>
      </c>
      <c r="Q81" s="1">
        <v>500</v>
      </c>
      <c r="R81" s="1">
        <v>1</v>
      </c>
      <c r="S81" s="1" t="s">
        <v>309</v>
      </c>
      <c r="T81" s="1">
        <v>1</v>
      </c>
      <c r="U81" s="1">
        <v>300</v>
      </c>
      <c r="V81" s="1">
        <v>1</v>
      </c>
      <c r="W81" s="1" t="s">
        <v>240</v>
      </c>
      <c r="X81" s="1">
        <v>0</v>
      </c>
      <c r="Y81" s="1">
        <f t="shared" si="18"/>
        <v>0</v>
      </c>
      <c r="Z81" s="1">
        <f t="shared" si="19"/>
        <v>0</v>
      </c>
      <c r="AA81" s="1">
        <v>0</v>
      </c>
      <c r="AC81" s="1">
        <v>0</v>
      </c>
      <c r="AD81" s="1">
        <v>0</v>
      </c>
      <c r="AE81" s="1">
        <v>1</v>
      </c>
      <c r="AF81" s="1">
        <v>1</v>
      </c>
      <c r="AG81" s="1">
        <v>1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4</v>
      </c>
      <c r="AO81" s="1">
        <v>1</v>
      </c>
      <c r="AP81" s="1">
        <v>0</v>
      </c>
      <c r="AQ81" s="1">
        <v>0</v>
      </c>
      <c r="AS81" s="1">
        <v>1</v>
      </c>
      <c r="AT81" s="1">
        <v>1</v>
      </c>
      <c r="AU81" s="1">
        <v>0</v>
      </c>
      <c r="AV81" s="1">
        <v>0</v>
      </c>
      <c r="AW81" s="1">
        <v>0</v>
      </c>
      <c r="AX81" s="1">
        <v>0</v>
      </c>
      <c r="AY81" s="1">
        <v>9</v>
      </c>
      <c r="AZ81" s="1">
        <v>1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G81" s="1" t="s">
        <v>224</v>
      </c>
      <c r="BO81" s="1" t="s">
        <v>233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1</v>
      </c>
      <c r="BX81" s="1">
        <v>0</v>
      </c>
      <c r="BZ81" s="1">
        <v>1</v>
      </c>
      <c r="CF81" s="1">
        <f t="shared" si="20"/>
        <v>0</v>
      </c>
      <c r="CH81" s="1">
        <v>7</v>
      </c>
      <c r="CO81" s="1">
        <v>800</v>
      </c>
      <c r="CV81" s="1">
        <v>1</v>
      </c>
      <c r="DB81" s="7">
        <f t="shared" si="21"/>
        <v>0.8</v>
      </c>
      <c r="DC81" s="5">
        <f t="shared" si="22"/>
        <v>2</v>
      </c>
      <c r="DE81" s="1">
        <v>3100</v>
      </c>
      <c r="DL81" s="1">
        <v>4</v>
      </c>
      <c r="DR81" s="1">
        <f t="shared" si="23"/>
        <v>4</v>
      </c>
      <c r="DZ81" s="1">
        <f t="shared" si="24"/>
        <v>0</v>
      </c>
      <c r="EC81" s="1">
        <v>1</v>
      </c>
      <c r="EF81" s="1">
        <f t="shared" si="25"/>
        <v>1</v>
      </c>
      <c r="EH81" s="1">
        <v>0</v>
      </c>
      <c r="EN81" s="1">
        <f t="shared" si="26"/>
        <v>0</v>
      </c>
      <c r="EP81" s="1">
        <v>1</v>
      </c>
      <c r="EV81" s="1">
        <f t="shared" si="27"/>
        <v>1</v>
      </c>
      <c r="EX81" s="1">
        <v>1</v>
      </c>
      <c r="FE81" s="1">
        <v>1</v>
      </c>
      <c r="FK81" s="1">
        <f t="shared" si="28"/>
        <v>1</v>
      </c>
      <c r="FM81" s="1">
        <v>0</v>
      </c>
      <c r="FS81" s="1">
        <f t="shared" si="29"/>
        <v>0</v>
      </c>
      <c r="FU81" s="1">
        <v>0</v>
      </c>
      <c r="GA81" s="1">
        <f t="shared" si="30"/>
        <v>0</v>
      </c>
      <c r="GJ81" s="1">
        <v>0</v>
      </c>
      <c r="GP81" s="1">
        <f t="shared" si="31"/>
        <v>0</v>
      </c>
      <c r="GR81" s="1">
        <v>2000</v>
      </c>
      <c r="GX81" s="1">
        <f t="shared" si="32"/>
        <v>2</v>
      </c>
      <c r="GZ81" s="1">
        <v>1</v>
      </c>
      <c r="HF81" s="1">
        <f t="shared" si="33"/>
        <v>1</v>
      </c>
      <c r="HH81" s="1">
        <v>13</v>
      </c>
      <c r="HN81" s="1">
        <f t="shared" si="34"/>
        <v>13</v>
      </c>
      <c r="HP81" s="1">
        <v>0</v>
      </c>
      <c r="HV81" s="1">
        <f t="shared" si="35"/>
        <v>0</v>
      </c>
      <c r="IK81" s="1">
        <v>0</v>
      </c>
      <c r="IL81" s="1">
        <v>0</v>
      </c>
      <c r="IM81" s="1">
        <v>0</v>
      </c>
      <c r="IN81" s="1">
        <v>280</v>
      </c>
      <c r="IO81" s="1">
        <v>0</v>
      </c>
    </row>
    <row r="82" spans="1:249" x14ac:dyDescent="0.25">
      <c r="A82" s="1">
        <v>81</v>
      </c>
      <c r="B82" s="1" t="s">
        <v>237</v>
      </c>
      <c r="C82" s="1" t="s">
        <v>194</v>
      </c>
      <c r="D82" s="1" t="s">
        <v>195</v>
      </c>
      <c r="E82" s="1" t="s">
        <v>195</v>
      </c>
      <c r="F82" s="1">
        <v>0</v>
      </c>
      <c r="G82" s="1">
        <v>1</v>
      </c>
      <c r="H82" s="1">
        <v>0</v>
      </c>
      <c r="I82" s="1">
        <v>52</v>
      </c>
      <c r="J82" s="1">
        <v>1</v>
      </c>
      <c r="K82" s="1">
        <v>1</v>
      </c>
      <c r="M82" s="1">
        <v>1</v>
      </c>
      <c r="N82" s="1">
        <v>1</v>
      </c>
      <c r="O82" s="1">
        <v>6</v>
      </c>
      <c r="P82" s="1">
        <v>20</v>
      </c>
      <c r="Q82" s="1">
        <v>1200</v>
      </c>
      <c r="R82" s="1">
        <v>1</v>
      </c>
      <c r="S82" s="1" t="s">
        <v>309</v>
      </c>
      <c r="T82" s="1">
        <v>1</v>
      </c>
      <c r="U82" s="1">
        <v>550</v>
      </c>
      <c r="V82" s="1">
        <v>0</v>
      </c>
      <c r="X82" s="1">
        <v>4</v>
      </c>
      <c r="Y82" s="1">
        <f t="shared" si="18"/>
        <v>0</v>
      </c>
      <c r="Z82" s="1">
        <f t="shared" si="19"/>
        <v>1</v>
      </c>
      <c r="AA82" s="1">
        <v>8</v>
      </c>
      <c r="AC82" s="1">
        <v>0</v>
      </c>
      <c r="AD82" s="1">
        <v>0</v>
      </c>
      <c r="AE82" s="1">
        <v>1</v>
      </c>
      <c r="AF82" s="1">
        <v>1</v>
      </c>
      <c r="AG82" s="1">
        <v>1</v>
      </c>
      <c r="AH82" s="1">
        <v>0</v>
      </c>
      <c r="AI82" s="1">
        <v>1</v>
      </c>
      <c r="AJ82" s="1">
        <v>0</v>
      </c>
      <c r="AK82" s="1">
        <v>0</v>
      </c>
      <c r="AL82" s="1">
        <v>0</v>
      </c>
      <c r="AM82" s="1">
        <v>7</v>
      </c>
      <c r="AO82" s="1">
        <v>1</v>
      </c>
      <c r="AP82" s="1">
        <v>0</v>
      </c>
      <c r="AQ82" s="1">
        <v>0</v>
      </c>
      <c r="AS82" s="1">
        <v>1</v>
      </c>
      <c r="AT82" s="1">
        <v>1</v>
      </c>
      <c r="AU82" s="1">
        <v>0</v>
      </c>
      <c r="AV82" s="1">
        <v>0</v>
      </c>
      <c r="AW82" s="1">
        <v>0</v>
      </c>
      <c r="AX82" s="1">
        <v>0</v>
      </c>
      <c r="AY82" s="1">
        <v>2</v>
      </c>
      <c r="AZ82" s="1">
        <v>1</v>
      </c>
      <c r="BA82" s="1">
        <v>0</v>
      </c>
      <c r="BB82" s="1">
        <v>0</v>
      </c>
      <c r="BC82" s="1">
        <v>0</v>
      </c>
      <c r="BD82" s="1">
        <v>0</v>
      </c>
      <c r="BE82" s="1">
        <v>5</v>
      </c>
      <c r="BG82" s="1" t="s">
        <v>224</v>
      </c>
      <c r="BH82" s="1" t="s">
        <v>260</v>
      </c>
      <c r="BI82" s="1" t="s">
        <v>230</v>
      </c>
      <c r="BO82" s="1" t="s">
        <v>233</v>
      </c>
      <c r="BR82" s="1">
        <v>1</v>
      </c>
      <c r="BS82" s="1">
        <v>0</v>
      </c>
      <c r="BT82" s="1">
        <v>0</v>
      </c>
      <c r="BU82" s="1">
        <v>1</v>
      </c>
      <c r="BV82" s="1">
        <v>0</v>
      </c>
      <c r="BW82" s="1">
        <v>1</v>
      </c>
      <c r="BX82" s="1">
        <v>0</v>
      </c>
      <c r="BZ82" s="1">
        <v>1</v>
      </c>
      <c r="CF82" s="1">
        <f t="shared" si="20"/>
        <v>0</v>
      </c>
      <c r="CH82" s="1">
        <v>2</v>
      </c>
      <c r="CO82" s="1">
        <v>1800</v>
      </c>
      <c r="CV82" s="1">
        <v>2</v>
      </c>
      <c r="DB82" s="7">
        <f t="shared" si="21"/>
        <v>0.9</v>
      </c>
      <c r="DC82" s="5">
        <f t="shared" si="22"/>
        <v>3</v>
      </c>
      <c r="DE82" s="1">
        <v>3000</v>
      </c>
      <c r="DL82" s="1">
        <v>5</v>
      </c>
      <c r="DR82" s="1">
        <f t="shared" si="23"/>
        <v>5</v>
      </c>
      <c r="DZ82" s="1">
        <f t="shared" si="24"/>
        <v>0</v>
      </c>
      <c r="EC82" s="1">
        <v>1</v>
      </c>
      <c r="EF82" s="1">
        <f t="shared" si="25"/>
        <v>1</v>
      </c>
      <c r="EH82" s="1">
        <v>0</v>
      </c>
      <c r="EN82" s="1">
        <f t="shared" si="26"/>
        <v>0</v>
      </c>
      <c r="EP82" s="1">
        <v>1</v>
      </c>
      <c r="EV82" s="1">
        <f t="shared" si="27"/>
        <v>1</v>
      </c>
      <c r="EX82" s="1">
        <v>1</v>
      </c>
      <c r="FE82" s="1">
        <v>1</v>
      </c>
      <c r="FK82" s="1">
        <f t="shared" si="28"/>
        <v>1</v>
      </c>
      <c r="FM82" s="1">
        <v>0</v>
      </c>
      <c r="FS82" s="1">
        <f t="shared" si="29"/>
        <v>0</v>
      </c>
      <c r="FU82" s="1">
        <v>0</v>
      </c>
      <c r="GA82" s="1">
        <f t="shared" si="30"/>
        <v>0</v>
      </c>
      <c r="GJ82" s="1">
        <v>1200</v>
      </c>
      <c r="GP82" s="1">
        <f t="shared" si="31"/>
        <v>1200</v>
      </c>
      <c r="GR82" s="1">
        <v>2000</v>
      </c>
      <c r="GX82" s="1">
        <f t="shared" si="32"/>
        <v>2</v>
      </c>
      <c r="GZ82" s="1">
        <v>1</v>
      </c>
      <c r="HF82" s="1">
        <f t="shared" si="33"/>
        <v>1</v>
      </c>
      <c r="HH82" s="1">
        <v>11.9</v>
      </c>
      <c r="HN82" s="1">
        <f t="shared" si="34"/>
        <v>11.9</v>
      </c>
      <c r="HP82" s="1">
        <v>1</v>
      </c>
      <c r="HV82" s="1">
        <f t="shared" si="35"/>
        <v>1</v>
      </c>
      <c r="HX82" s="1" t="s">
        <v>243</v>
      </c>
      <c r="IE82" s="1">
        <v>0</v>
      </c>
      <c r="IK82" s="1">
        <v>0</v>
      </c>
      <c r="IL82" s="1">
        <v>80</v>
      </c>
      <c r="IM82" s="1">
        <v>0</v>
      </c>
      <c r="IN82" s="1">
        <v>80</v>
      </c>
      <c r="IO82" s="1">
        <v>0</v>
      </c>
    </row>
    <row r="83" spans="1:249" x14ac:dyDescent="0.25">
      <c r="A83" s="1">
        <v>82</v>
      </c>
      <c r="B83" s="1" t="s">
        <v>234</v>
      </c>
      <c r="C83" s="1" t="s">
        <v>235</v>
      </c>
      <c r="D83" s="1" t="s">
        <v>236</v>
      </c>
      <c r="E83" s="1" t="s">
        <v>259</v>
      </c>
      <c r="F83" s="1">
        <v>0</v>
      </c>
      <c r="G83" s="1">
        <v>0</v>
      </c>
      <c r="H83" s="1">
        <v>1</v>
      </c>
      <c r="I83" s="1">
        <v>52</v>
      </c>
      <c r="J83" s="1">
        <v>1</v>
      </c>
      <c r="K83" s="1">
        <v>1</v>
      </c>
      <c r="M83" s="1">
        <v>1</v>
      </c>
      <c r="N83" s="1">
        <v>1</v>
      </c>
      <c r="O83" s="1">
        <v>4</v>
      </c>
      <c r="P83" s="1">
        <v>30</v>
      </c>
      <c r="Q83" s="1">
        <v>1200</v>
      </c>
      <c r="R83" s="1">
        <v>0</v>
      </c>
      <c r="T83" s="1">
        <v>1</v>
      </c>
      <c r="U83" s="1">
        <v>400</v>
      </c>
      <c r="V83" s="1">
        <v>1</v>
      </c>
      <c r="W83" s="1" t="s">
        <v>240</v>
      </c>
      <c r="X83" s="1">
        <v>4</v>
      </c>
      <c r="Y83" s="1">
        <f t="shared" si="18"/>
        <v>0</v>
      </c>
      <c r="Z83" s="1">
        <f t="shared" si="19"/>
        <v>1</v>
      </c>
      <c r="AA83" s="1">
        <v>9</v>
      </c>
      <c r="AC83" s="1">
        <v>0</v>
      </c>
      <c r="AD83" s="1">
        <v>0</v>
      </c>
      <c r="AE83" s="1">
        <v>1</v>
      </c>
      <c r="AF83" s="1">
        <v>1</v>
      </c>
      <c r="AG83" s="1">
        <v>1</v>
      </c>
      <c r="AH83" s="1">
        <v>1</v>
      </c>
      <c r="AI83" s="1">
        <v>1</v>
      </c>
      <c r="AJ83" s="1">
        <v>0</v>
      </c>
      <c r="AK83" s="1">
        <v>1</v>
      </c>
      <c r="AL83" s="1">
        <v>1</v>
      </c>
      <c r="AM83" s="1">
        <v>10</v>
      </c>
      <c r="AO83" s="1">
        <v>1</v>
      </c>
      <c r="AP83" s="1">
        <v>0</v>
      </c>
      <c r="AQ83" s="1">
        <v>0</v>
      </c>
      <c r="AS83" s="1">
        <v>1</v>
      </c>
      <c r="AT83" s="1">
        <v>1</v>
      </c>
      <c r="AU83" s="1">
        <v>0</v>
      </c>
      <c r="AV83" s="1">
        <v>0</v>
      </c>
      <c r="AW83" s="1">
        <v>0</v>
      </c>
      <c r="AX83" s="1">
        <v>0</v>
      </c>
      <c r="AY83" s="1">
        <v>2</v>
      </c>
      <c r="AZ83" s="1">
        <v>0.5</v>
      </c>
      <c r="BA83" s="1">
        <v>0</v>
      </c>
      <c r="BB83" s="1">
        <v>0</v>
      </c>
      <c r="BC83" s="1">
        <v>0</v>
      </c>
      <c r="BD83" s="1">
        <v>0</v>
      </c>
      <c r="BE83" s="1">
        <v>3</v>
      </c>
      <c r="BG83" s="1" t="s">
        <v>224</v>
      </c>
      <c r="BH83" s="1" t="s">
        <v>210</v>
      </c>
      <c r="BO83" s="1" t="s">
        <v>233</v>
      </c>
      <c r="BR83" s="1">
        <v>1</v>
      </c>
      <c r="BS83" s="1">
        <v>0</v>
      </c>
      <c r="BT83" s="1">
        <v>0</v>
      </c>
      <c r="BU83" s="1">
        <v>1</v>
      </c>
      <c r="BV83" s="1">
        <v>1</v>
      </c>
      <c r="BW83" s="1">
        <v>1</v>
      </c>
      <c r="BX83" s="1">
        <v>0</v>
      </c>
      <c r="BZ83" s="1">
        <v>1</v>
      </c>
      <c r="CF83" s="1">
        <f t="shared" si="20"/>
        <v>0</v>
      </c>
      <c r="CH83" s="1">
        <v>2</v>
      </c>
      <c r="CO83" s="1">
        <v>2500</v>
      </c>
      <c r="CV83" s="1">
        <v>2</v>
      </c>
      <c r="DB83" s="7">
        <f t="shared" si="21"/>
        <v>1.25</v>
      </c>
      <c r="DC83" s="5">
        <f t="shared" si="22"/>
        <v>3</v>
      </c>
      <c r="DE83" s="1">
        <v>3000</v>
      </c>
      <c r="DL83" s="1">
        <v>7</v>
      </c>
      <c r="DR83" s="1">
        <f t="shared" si="23"/>
        <v>7</v>
      </c>
      <c r="DZ83" s="1">
        <f t="shared" si="24"/>
        <v>0</v>
      </c>
      <c r="EC83" s="1">
        <v>1</v>
      </c>
      <c r="EF83" s="1">
        <f t="shared" si="25"/>
        <v>1</v>
      </c>
      <c r="EH83" s="1">
        <v>0</v>
      </c>
      <c r="EN83" s="1">
        <f t="shared" si="26"/>
        <v>0</v>
      </c>
      <c r="EP83" s="1">
        <v>1</v>
      </c>
      <c r="EV83" s="1">
        <f t="shared" si="27"/>
        <v>1</v>
      </c>
      <c r="EX83" s="1">
        <v>1</v>
      </c>
      <c r="FE83" s="1">
        <v>1</v>
      </c>
      <c r="FK83" s="1">
        <f t="shared" si="28"/>
        <v>1</v>
      </c>
      <c r="FM83" s="1">
        <v>0</v>
      </c>
      <c r="FS83" s="1">
        <f t="shared" si="29"/>
        <v>0</v>
      </c>
      <c r="FU83" s="1">
        <v>0</v>
      </c>
      <c r="GA83" s="1">
        <f t="shared" si="30"/>
        <v>0</v>
      </c>
      <c r="GJ83" s="1">
        <v>0</v>
      </c>
      <c r="GP83" s="1">
        <f t="shared" si="31"/>
        <v>0</v>
      </c>
      <c r="GR83" s="1">
        <v>10000</v>
      </c>
      <c r="GX83" s="1">
        <f t="shared" si="32"/>
        <v>10</v>
      </c>
      <c r="GZ83" s="1">
        <v>1</v>
      </c>
      <c r="HF83" s="1">
        <f t="shared" si="33"/>
        <v>1</v>
      </c>
      <c r="HH83" s="1">
        <v>11</v>
      </c>
      <c r="HN83" s="1">
        <f t="shared" si="34"/>
        <v>11</v>
      </c>
      <c r="HP83" s="1">
        <v>0</v>
      </c>
      <c r="HV83" s="1">
        <f t="shared" si="35"/>
        <v>0</v>
      </c>
      <c r="IK83" s="1">
        <v>0</v>
      </c>
      <c r="IL83" s="1">
        <v>0</v>
      </c>
      <c r="IM83" s="1">
        <v>0</v>
      </c>
      <c r="IN83" s="1">
        <v>80</v>
      </c>
      <c r="IO83" s="1">
        <v>0</v>
      </c>
    </row>
    <row r="84" spans="1:249" x14ac:dyDescent="0.25">
      <c r="A84" s="1">
        <v>83</v>
      </c>
      <c r="B84" s="1" t="s">
        <v>234</v>
      </c>
      <c r="C84" s="1" t="s">
        <v>235</v>
      </c>
      <c r="D84" s="1" t="s">
        <v>236</v>
      </c>
      <c r="E84" s="1" t="s">
        <v>259</v>
      </c>
      <c r="F84" s="1">
        <v>0</v>
      </c>
      <c r="G84" s="1">
        <v>0</v>
      </c>
      <c r="H84" s="1">
        <v>1</v>
      </c>
      <c r="I84" s="1">
        <v>35</v>
      </c>
      <c r="J84" s="1">
        <v>1</v>
      </c>
      <c r="K84" s="1">
        <v>1</v>
      </c>
      <c r="M84" s="1">
        <v>0</v>
      </c>
      <c r="N84" s="1">
        <v>0</v>
      </c>
      <c r="O84" s="1">
        <v>2</v>
      </c>
      <c r="P84" s="1">
        <v>35</v>
      </c>
      <c r="Q84" s="1">
        <v>700</v>
      </c>
      <c r="R84" s="1">
        <v>0</v>
      </c>
      <c r="T84" s="1">
        <v>1</v>
      </c>
      <c r="U84" s="1">
        <v>300</v>
      </c>
      <c r="V84" s="1">
        <v>0</v>
      </c>
      <c r="X84" s="1">
        <v>8</v>
      </c>
      <c r="Y84" s="1">
        <f t="shared" si="18"/>
        <v>0</v>
      </c>
      <c r="Z84" s="1">
        <f t="shared" si="19"/>
        <v>0</v>
      </c>
      <c r="AA84" s="1">
        <v>13</v>
      </c>
      <c r="AC84" s="1">
        <v>0</v>
      </c>
      <c r="AD84" s="1">
        <v>0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0</v>
      </c>
      <c r="AK84" s="1">
        <v>0</v>
      </c>
      <c r="AL84" s="1">
        <v>1</v>
      </c>
      <c r="AM84" s="1">
        <v>8</v>
      </c>
      <c r="AO84" s="1">
        <v>1</v>
      </c>
      <c r="AP84" s="1">
        <v>0</v>
      </c>
      <c r="AQ84" s="1">
        <v>0</v>
      </c>
      <c r="AS84" s="1">
        <v>1</v>
      </c>
      <c r="AT84" s="1">
        <v>1</v>
      </c>
      <c r="AU84" s="1">
        <v>0</v>
      </c>
      <c r="AV84" s="1">
        <v>0</v>
      </c>
      <c r="AW84" s="1">
        <v>0</v>
      </c>
      <c r="AX84" s="1">
        <v>0</v>
      </c>
      <c r="AY84" s="1">
        <v>1.5</v>
      </c>
      <c r="AZ84" s="1">
        <v>0.5</v>
      </c>
      <c r="BA84" s="1">
        <v>0</v>
      </c>
      <c r="BB84" s="1">
        <v>0</v>
      </c>
      <c r="BC84" s="1">
        <v>0</v>
      </c>
      <c r="BD84" s="1">
        <v>0</v>
      </c>
      <c r="BE84" s="1">
        <v>5</v>
      </c>
      <c r="BG84" s="1" t="s">
        <v>224</v>
      </c>
      <c r="BH84" s="1" t="s">
        <v>210</v>
      </c>
      <c r="BR84" s="1">
        <v>1</v>
      </c>
      <c r="BS84" s="1">
        <v>0</v>
      </c>
      <c r="BT84" s="1">
        <v>0</v>
      </c>
      <c r="BU84" s="1">
        <v>1</v>
      </c>
      <c r="BV84" s="1">
        <v>1</v>
      </c>
      <c r="BW84" s="1">
        <v>1</v>
      </c>
      <c r="BX84" s="1">
        <v>0</v>
      </c>
      <c r="BZ84" s="1">
        <v>1</v>
      </c>
      <c r="CA84" s="1">
        <v>1</v>
      </c>
      <c r="CF84" s="1">
        <f t="shared" si="20"/>
        <v>1</v>
      </c>
      <c r="CH84" s="1">
        <v>1</v>
      </c>
      <c r="CI84" s="1">
        <v>0.5</v>
      </c>
      <c r="CO84" s="1">
        <v>1000</v>
      </c>
      <c r="CP84" s="1">
        <v>500</v>
      </c>
      <c r="CV84" s="1">
        <v>1</v>
      </c>
      <c r="CW84" s="1">
        <v>0.5</v>
      </c>
      <c r="DB84" s="7">
        <f t="shared" si="21"/>
        <v>1</v>
      </c>
      <c r="DC84" s="5">
        <f t="shared" si="22"/>
        <v>3</v>
      </c>
      <c r="DE84" s="1">
        <v>3000</v>
      </c>
      <c r="DF84" s="1">
        <v>3000</v>
      </c>
      <c r="DL84" s="1">
        <v>7</v>
      </c>
      <c r="DM84" s="1">
        <v>5</v>
      </c>
      <c r="DR84" s="1">
        <f t="shared" si="23"/>
        <v>7</v>
      </c>
      <c r="DZ84" s="1">
        <f t="shared" si="24"/>
        <v>0</v>
      </c>
      <c r="EB84" s="1">
        <v>1</v>
      </c>
      <c r="EF84" s="1">
        <f t="shared" si="25"/>
        <v>1</v>
      </c>
      <c r="EH84" s="1">
        <v>0</v>
      </c>
      <c r="EI84" s="1">
        <v>0</v>
      </c>
      <c r="EN84" s="1">
        <f t="shared" si="26"/>
        <v>0</v>
      </c>
      <c r="EP84" s="1">
        <v>1</v>
      </c>
      <c r="EQ84" s="1">
        <v>1</v>
      </c>
      <c r="EV84" s="1">
        <f t="shared" si="27"/>
        <v>1</v>
      </c>
      <c r="EX84" s="1">
        <v>1</v>
      </c>
      <c r="EY84" s="1">
        <v>1</v>
      </c>
      <c r="FE84" s="1">
        <v>1</v>
      </c>
      <c r="FF84" s="1">
        <v>1</v>
      </c>
      <c r="FK84" s="1">
        <f t="shared" si="28"/>
        <v>1</v>
      </c>
      <c r="FM84" s="1">
        <v>0</v>
      </c>
      <c r="FN84" s="1">
        <v>0</v>
      </c>
      <c r="FS84" s="1">
        <f t="shared" si="29"/>
        <v>0</v>
      </c>
      <c r="FU84" s="1">
        <v>0</v>
      </c>
      <c r="FV84" s="1">
        <v>0</v>
      </c>
      <c r="GA84" s="1">
        <f t="shared" si="30"/>
        <v>0</v>
      </c>
      <c r="GJ84" s="1">
        <v>0</v>
      </c>
      <c r="GK84" s="1">
        <v>0</v>
      </c>
      <c r="GP84" s="1">
        <f t="shared" si="31"/>
        <v>0</v>
      </c>
      <c r="GR84" s="1">
        <v>5000</v>
      </c>
      <c r="GS84" s="1">
        <v>5000</v>
      </c>
      <c r="GX84" s="1">
        <f t="shared" si="32"/>
        <v>10</v>
      </c>
      <c r="GZ84" s="1">
        <v>1</v>
      </c>
      <c r="HA84" s="1">
        <v>1</v>
      </c>
      <c r="HF84" s="1">
        <f t="shared" si="33"/>
        <v>1</v>
      </c>
      <c r="HH84" s="1">
        <v>11</v>
      </c>
      <c r="HI84" s="1">
        <v>11.5</v>
      </c>
      <c r="HN84" s="1">
        <f t="shared" si="34"/>
        <v>11.25</v>
      </c>
      <c r="HP84" s="1">
        <v>0</v>
      </c>
      <c r="HQ84" s="1">
        <v>0</v>
      </c>
      <c r="HV84" s="1">
        <f t="shared" si="35"/>
        <v>0</v>
      </c>
      <c r="IK84" s="1">
        <v>0</v>
      </c>
      <c r="IL84" s="1">
        <v>0</v>
      </c>
      <c r="IM84" s="1">
        <v>0</v>
      </c>
      <c r="IN84" s="1">
        <v>60</v>
      </c>
      <c r="IO84" s="1">
        <v>0</v>
      </c>
    </row>
    <row r="85" spans="1:249" x14ac:dyDescent="0.25">
      <c r="A85" s="1">
        <v>84</v>
      </c>
      <c r="B85" s="1" t="s">
        <v>234</v>
      </c>
      <c r="C85" s="1" t="s">
        <v>235</v>
      </c>
      <c r="D85" s="1" t="s">
        <v>236</v>
      </c>
      <c r="E85" s="1" t="s">
        <v>259</v>
      </c>
      <c r="F85" s="1">
        <v>0</v>
      </c>
      <c r="G85" s="1">
        <v>0</v>
      </c>
      <c r="H85" s="1">
        <v>1</v>
      </c>
      <c r="I85" s="1">
        <v>68</v>
      </c>
      <c r="J85" s="1">
        <v>0</v>
      </c>
      <c r="K85" s="1">
        <v>1</v>
      </c>
      <c r="M85" s="1">
        <v>1</v>
      </c>
      <c r="N85" s="1">
        <v>1</v>
      </c>
      <c r="O85" s="1">
        <v>3</v>
      </c>
      <c r="P85" s="1">
        <v>40</v>
      </c>
      <c r="Q85" s="1">
        <v>600</v>
      </c>
      <c r="R85" s="1">
        <v>1</v>
      </c>
      <c r="S85" s="1" t="s">
        <v>311</v>
      </c>
      <c r="T85" s="1">
        <v>1</v>
      </c>
      <c r="U85" s="1">
        <v>400</v>
      </c>
      <c r="V85" s="1">
        <v>1</v>
      </c>
      <c r="W85" s="1" t="s">
        <v>240</v>
      </c>
      <c r="X85" s="1">
        <v>0</v>
      </c>
      <c r="Y85" s="1">
        <f t="shared" si="18"/>
        <v>0</v>
      </c>
      <c r="Z85" s="1">
        <f t="shared" si="19"/>
        <v>0</v>
      </c>
      <c r="AA85" s="1">
        <v>0</v>
      </c>
      <c r="AC85" s="1">
        <v>0</v>
      </c>
      <c r="AD85" s="1">
        <v>0</v>
      </c>
      <c r="AE85" s="1">
        <v>1</v>
      </c>
      <c r="AF85" s="1">
        <v>1</v>
      </c>
      <c r="AG85" s="1">
        <v>1</v>
      </c>
      <c r="AH85" s="1">
        <v>1</v>
      </c>
      <c r="AI85" s="1">
        <v>1</v>
      </c>
      <c r="AJ85" s="1">
        <v>0</v>
      </c>
      <c r="AK85" s="1">
        <v>1</v>
      </c>
      <c r="AL85" s="1">
        <v>1</v>
      </c>
      <c r="AM85" s="1">
        <v>8</v>
      </c>
      <c r="AO85" s="1">
        <v>1</v>
      </c>
      <c r="AP85" s="1">
        <v>0</v>
      </c>
      <c r="AQ85" s="1">
        <v>1</v>
      </c>
      <c r="AS85" s="1">
        <v>1</v>
      </c>
      <c r="AT85" s="1">
        <v>0</v>
      </c>
      <c r="AU85" s="1">
        <v>0</v>
      </c>
      <c r="AV85" s="1">
        <v>0</v>
      </c>
      <c r="AW85" s="1">
        <v>1</v>
      </c>
      <c r="AX85" s="1">
        <v>0</v>
      </c>
      <c r="AY85" s="1">
        <v>2</v>
      </c>
      <c r="AZ85" s="1">
        <v>0</v>
      </c>
      <c r="BA85" s="1">
        <v>0</v>
      </c>
      <c r="BB85" s="1">
        <v>0</v>
      </c>
      <c r="BC85" s="1">
        <v>2</v>
      </c>
      <c r="BD85" s="1">
        <v>0</v>
      </c>
      <c r="BE85" s="1">
        <v>3</v>
      </c>
      <c r="BG85" s="1" t="s">
        <v>224</v>
      </c>
      <c r="BL85" s="1" t="s">
        <v>283</v>
      </c>
      <c r="BO85" s="1" t="s">
        <v>233</v>
      </c>
      <c r="BR85" s="1">
        <v>0</v>
      </c>
      <c r="BS85" s="1">
        <v>0</v>
      </c>
      <c r="BT85" s="1">
        <v>0</v>
      </c>
      <c r="BU85" s="1">
        <v>1</v>
      </c>
      <c r="BV85" s="1">
        <v>1</v>
      </c>
      <c r="BW85" s="1">
        <v>1</v>
      </c>
      <c r="BX85" s="1">
        <v>0</v>
      </c>
      <c r="BZ85" s="1">
        <v>1</v>
      </c>
      <c r="CF85" s="1">
        <f t="shared" si="20"/>
        <v>0</v>
      </c>
      <c r="CH85" s="1">
        <v>2</v>
      </c>
      <c r="CO85" s="1">
        <v>1500</v>
      </c>
      <c r="CV85" s="1">
        <v>2</v>
      </c>
      <c r="DB85" s="7">
        <f t="shared" si="21"/>
        <v>0.75</v>
      </c>
      <c r="DC85" s="5">
        <f t="shared" si="22"/>
        <v>2</v>
      </c>
      <c r="DE85" s="1">
        <v>3000</v>
      </c>
      <c r="DL85" s="1">
        <v>7</v>
      </c>
      <c r="DR85" s="1">
        <f t="shared" si="23"/>
        <v>7</v>
      </c>
      <c r="DZ85" s="1">
        <f t="shared" si="24"/>
        <v>0</v>
      </c>
      <c r="EC85" s="1">
        <v>1</v>
      </c>
      <c r="EF85" s="1">
        <f t="shared" si="25"/>
        <v>1</v>
      </c>
      <c r="EH85" s="1">
        <v>1</v>
      </c>
      <c r="EN85" s="1">
        <f t="shared" si="26"/>
        <v>1</v>
      </c>
      <c r="EP85" s="1">
        <v>1</v>
      </c>
      <c r="EV85" s="1">
        <f t="shared" si="27"/>
        <v>1</v>
      </c>
      <c r="EX85" s="1">
        <v>1</v>
      </c>
      <c r="FE85" s="1">
        <v>1</v>
      </c>
      <c r="FK85" s="1">
        <f t="shared" si="28"/>
        <v>1</v>
      </c>
      <c r="FM85" s="1">
        <v>0</v>
      </c>
      <c r="FS85" s="1">
        <f t="shared" si="29"/>
        <v>0</v>
      </c>
      <c r="FU85" s="1">
        <v>0</v>
      </c>
      <c r="GA85" s="1">
        <f t="shared" si="30"/>
        <v>0</v>
      </c>
      <c r="GJ85" s="1">
        <v>12500</v>
      </c>
      <c r="GP85" s="1">
        <f t="shared" si="31"/>
        <v>12500</v>
      </c>
      <c r="GR85" s="1">
        <v>5000</v>
      </c>
      <c r="GX85" s="1">
        <f t="shared" si="32"/>
        <v>5</v>
      </c>
      <c r="GZ85" s="1">
        <v>1</v>
      </c>
      <c r="HF85" s="1">
        <f t="shared" si="33"/>
        <v>1</v>
      </c>
      <c r="HH85" s="1">
        <v>11</v>
      </c>
      <c r="HN85" s="1">
        <f t="shared" si="34"/>
        <v>11</v>
      </c>
      <c r="HP85" s="1">
        <v>0</v>
      </c>
      <c r="HV85" s="1">
        <f t="shared" si="35"/>
        <v>0</v>
      </c>
      <c r="HX85" s="1" t="s">
        <v>284</v>
      </c>
      <c r="IE85" s="1">
        <v>1</v>
      </c>
      <c r="IK85" s="1">
        <v>0</v>
      </c>
      <c r="IL85" s="1">
        <v>0</v>
      </c>
      <c r="IM85" s="1">
        <v>0</v>
      </c>
      <c r="IN85" s="1">
        <v>80</v>
      </c>
      <c r="IO85" s="1">
        <v>0</v>
      </c>
    </row>
    <row r="86" spans="1:249" x14ac:dyDescent="0.25">
      <c r="A86" s="1">
        <v>85</v>
      </c>
      <c r="B86" s="1" t="s">
        <v>234</v>
      </c>
      <c r="C86" s="1" t="s">
        <v>235</v>
      </c>
      <c r="D86" s="1" t="s">
        <v>236</v>
      </c>
      <c r="E86" s="1" t="s">
        <v>259</v>
      </c>
      <c r="F86" s="1">
        <v>0</v>
      </c>
      <c r="G86" s="1">
        <v>0</v>
      </c>
      <c r="H86" s="1">
        <v>1</v>
      </c>
      <c r="I86" s="1">
        <v>68</v>
      </c>
      <c r="J86" s="1">
        <v>1</v>
      </c>
      <c r="K86" s="1">
        <v>1</v>
      </c>
      <c r="M86" s="1">
        <v>1</v>
      </c>
      <c r="N86" s="1">
        <v>1</v>
      </c>
      <c r="O86" s="1">
        <v>2</v>
      </c>
      <c r="P86" s="1">
        <v>30</v>
      </c>
      <c r="Q86" s="1">
        <v>300</v>
      </c>
      <c r="R86" s="1">
        <v>1</v>
      </c>
      <c r="S86" s="1" t="s">
        <v>197</v>
      </c>
      <c r="T86" s="1">
        <v>1</v>
      </c>
      <c r="U86" s="1">
        <v>400</v>
      </c>
      <c r="V86" s="1">
        <v>0</v>
      </c>
      <c r="X86" s="1">
        <v>2</v>
      </c>
      <c r="Y86" s="1">
        <f t="shared" si="18"/>
        <v>1</v>
      </c>
      <c r="Z86" s="1">
        <f t="shared" si="19"/>
        <v>0</v>
      </c>
      <c r="AA86" s="1">
        <v>7</v>
      </c>
      <c r="AC86" s="1">
        <v>0</v>
      </c>
      <c r="AD86" s="1">
        <v>0</v>
      </c>
      <c r="AE86" s="1">
        <v>1</v>
      </c>
      <c r="AF86" s="1">
        <v>1</v>
      </c>
      <c r="AG86" s="1">
        <v>1</v>
      </c>
      <c r="AH86" s="1">
        <v>1</v>
      </c>
      <c r="AI86" s="1">
        <v>1</v>
      </c>
      <c r="AJ86" s="1">
        <v>0</v>
      </c>
      <c r="AK86" s="1">
        <v>1</v>
      </c>
      <c r="AL86" s="1">
        <v>1</v>
      </c>
      <c r="AM86" s="1">
        <v>10</v>
      </c>
      <c r="AO86" s="1">
        <v>1</v>
      </c>
      <c r="AP86" s="1">
        <v>0</v>
      </c>
      <c r="AQ86" s="1">
        <v>1</v>
      </c>
      <c r="AS86" s="1">
        <v>1</v>
      </c>
      <c r="AT86" s="1">
        <v>0</v>
      </c>
      <c r="AU86" s="1">
        <v>0</v>
      </c>
      <c r="AV86" s="1">
        <v>0</v>
      </c>
      <c r="AW86" s="1">
        <v>1</v>
      </c>
      <c r="AX86" s="1">
        <v>0</v>
      </c>
      <c r="AY86" s="1">
        <v>7</v>
      </c>
      <c r="AZ86" s="1">
        <v>0</v>
      </c>
      <c r="BA86" s="1">
        <v>0</v>
      </c>
      <c r="BB86" s="1">
        <v>0</v>
      </c>
      <c r="BC86" s="1">
        <v>2</v>
      </c>
      <c r="BD86" s="1">
        <v>0</v>
      </c>
      <c r="BE86" s="1">
        <v>10</v>
      </c>
      <c r="BG86" s="1" t="s">
        <v>224</v>
      </c>
      <c r="BO86" s="1" t="s">
        <v>233</v>
      </c>
      <c r="BR86" s="1">
        <v>0</v>
      </c>
      <c r="BS86" s="1">
        <v>0</v>
      </c>
      <c r="BT86" s="1">
        <v>0</v>
      </c>
      <c r="BU86" s="1">
        <v>1</v>
      </c>
      <c r="BV86" s="1">
        <v>1</v>
      </c>
      <c r="BW86" s="1">
        <v>1</v>
      </c>
      <c r="BX86" s="1">
        <v>0</v>
      </c>
      <c r="BZ86" s="1">
        <v>1</v>
      </c>
      <c r="CA86" s="1">
        <v>1</v>
      </c>
      <c r="CF86" s="1">
        <f t="shared" si="20"/>
        <v>1</v>
      </c>
      <c r="CH86" s="1">
        <v>6.5</v>
      </c>
      <c r="CI86" s="1">
        <v>0.5</v>
      </c>
      <c r="CO86" s="1">
        <v>9000</v>
      </c>
      <c r="CP86" s="1">
        <v>1000</v>
      </c>
      <c r="CV86" s="1">
        <v>6.5</v>
      </c>
      <c r="CW86" s="1">
        <v>0.5</v>
      </c>
      <c r="DB86" s="7">
        <f t="shared" si="21"/>
        <v>1.4285714285714286</v>
      </c>
      <c r="DC86" s="5">
        <f t="shared" si="22"/>
        <v>3</v>
      </c>
      <c r="DE86" s="1">
        <v>3000</v>
      </c>
      <c r="DF86" s="1">
        <v>3000</v>
      </c>
      <c r="DL86" s="1">
        <v>6</v>
      </c>
      <c r="DM86" s="1">
        <v>6</v>
      </c>
      <c r="DR86" s="1">
        <f t="shared" si="23"/>
        <v>6</v>
      </c>
      <c r="DZ86" s="1">
        <f t="shared" si="24"/>
        <v>0</v>
      </c>
      <c r="EC86" s="1">
        <v>1</v>
      </c>
      <c r="EF86" s="1">
        <f t="shared" si="25"/>
        <v>1</v>
      </c>
      <c r="EH86" s="1">
        <v>1</v>
      </c>
      <c r="EI86" s="1">
        <v>0</v>
      </c>
      <c r="EN86" s="1">
        <f t="shared" si="26"/>
        <v>1</v>
      </c>
      <c r="EP86" s="1">
        <v>1</v>
      </c>
      <c r="EQ86" s="1">
        <v>1</v>
      </c>
      <c r="EV86" s="1">
        <f t="shared" si="27"/>
        <v>1</v>
      </c>
      <c r="EX86" s="1">
        <v>1</v>
      </c>
      <c r="EY86" s="1">
        <v>1</v>
      </c>
      <c r="FE86" s="1">
        <v>1</v>
      </c>
      <c r="FF86" s="1">
        <v>1</v>
      </c>
      <c r="FK86" s="1">
        <f t="shared" si="28"/>
        <v>1</v>
      </c>
      <c r="FM86" s="1">
        <v>0</v>
      </c>
      <c r="FN86" s="1">
        <v>0</v>
      </c>
      <c r="FS86" s="1">
        <f t="shared" si="29"/>
        <v>0</v>
      </c>
      <c r="FU86" s="1">
        <v>0</v>
      </c>
      <c r="FV86" s="1">
        <v>0</v>
      </c>
      <c r="GA86" s="1">
        <f t="shared" si="30"/>
        <v>0</v>
      </c>
      <c r="GJ86" s="1">
        <v>12000</v>
      </c>
      <c r="GP86" s="1">
        <f t="shared" si="31"/>
        <v>12000</v>
      </c>
      <c r="GR86" s="1">
        <v>40000</v>
      </c>
      <c r="GS86" s="1">
        <v>1000</v>
      </c>
      <c r="GX86" s="1">
        <f t="shared" si="32"/>
        <v>41</v>
      </c>
      <c r="GZ86" s="1">
        <v>1</v>
      </c>
      <c r="HA86" s="1">
        <v>1</v>
      </c>
      <c r="HF86" s="1">
        <f t="shared" si="33"/>
        <v>1</v>
      </c>
      <c r="HH86" s="1">
        <v>11</v>
      </c>
      <c r="HI86" s="1">
        <v>11</v>
      </c>
      <c r="HN86" s="1">
        <f t="shared" si="34"/>
        <v>11</v>
      </c>
      <c r="HP86" s="1">
        <v>0</v>
      </c>
      <c r="HV86" s="1">
        <f t="shared" si="35"/>
        <v>0</v>
      </c>
      <c r="HX86" s="1" t="s">
        <v>284</v>
      </c>
      <c r="IE86" s="1">
        <v>1</v>
      </c>
      <c r="IK86" s="1">
        <v>0</v>
      </c>
      <c r="IL86" s="1">
        <v>280</v>
      </c>
      <c r="IM86" s="1">
        <v>56</v>
      </c>
      <c r="IN86" s="1">
        <v>280</v>
      </c>
      <c r="IO86" s="1">
        <v>0</v>
      </c>
    </row>
    <row r="87" spans="1:249" x14ac:dyDescent="0.25">
      <c r="A87" s="1">
        <v>86</v>
      </c>
      <c r="B87" s="1" t="s">
        <v>234</v>
      </c>
      <c r="C87" s="1" t="s">
        <v>235</v>
      </c>
      <c r="D87" s="1" t="s">
        <v>236</v>
      </c>
      <c r="E87" s="1" t="s">
        <v>259</v>
      </c>
      <c r="F87" s="1">
        <v>0</v>
      </c>
      <c r="G87" s="1">
        <v>0</v>
      </c>
      <c r="H87" s="1">
        <v>1</v>
      </c>
      <c r="I87" s="1">
        <v>57</v>
      </c>
      <c r="J87" s="1">
        <v>1</v>
      </c>
      <c r="K87" s="1">
        <v>1</v>
      </c>
      <c r="M87" s="1">
        <v>0</v>
      </c>
      <c r="N87" s="1">
        <v>0</v>
      </c>
      <c r="O87" s="1">
        <v>3</v>
      </c>
      <c r="P87" s="1">
        <v>57</v>
      </c>
      <c r="Q87" s="1">
        <v>1000</v>
      </c>
      <c r="R87" s="1">
        <v>0</v>
      </c>
      <c r="T87" s="1">
        <v>1</v>
      </c>
      <c r="U87" s="1">
        <v>400</v>
      </c>
      <c r="V87" s="1">
        <v>0</v>
      </c>
      <c r="X87" s="1">
        <v>2</v>
      </c>
      <c r="Y87" s="1">
        <f t="shared" si="18"/>
        <v>1</v>
      </c>
      <c r="Z87" s="1">
        <f t="shared" si="19"/>
        <v>0</v>
      </c>
      <c r="AA87" s="1">
        <v>7</v>
      </c>
      <c r="AC87" s="1">
        <v>0</v>
      </c>
      <c r="AD87" s="1">
        <v>0</v>
      </c>
      <c r="AE87" s="1">
        <v>1</v>
      </c>
      <c r="AF87" s="1">
        <v>1</v>
      </c>
      <c r="AG87" s="1">
        <v>1</v>
      </c>
      <c r="AH87" s="1">
        <v>1</v>
      </c>
      <c r="AI87" s="1">
        <v>1</v>
      </c>
      <c r="AJ87" s="1">
        <v>0</v>
      </c>
      <c r="AK87" s="1">
        <v>1</v>
      </c>
      <c r="AL87" s="1">
        <v>1</v>
      </c>
      <c r="AM87" s="1">
        <v>10</v>
      </c>
      <c r="AO87" s="1">
        <v>1</v>
      </c>
      <c r="AP87" s="1">
        <v>0</v>
      </c>
      <c r="AQ87" s="1">
        <v>1</v>
      </c>
      <c r="AS87" s="1">
        <v>1</v>
      </c>
      <c r="AT87" s="1">
        <v>1</v>
      </c>
      <c r="AU87" s="1">
        <v>0</v>
      </c>
      <c r="AV87" s="1">
        <v>0</v>
      </c>
      <c r="AW87" s="1">
        <v>1</v>
      </c>
      <c r="AX87" s="1">
        <v>0</v>
      </c>
      <c r="AY87" s="1">
        <v>3</v>
      </c>
      <c r="AZ87" s="1">
        <v>1</v>
      </c>
      <c r="BA87" s="1">
        <v>0</v>
      </c>
      <c r="BB87" s="1">
        <v>0</v>
      </c>
      <c r="BC87" s="1">
        <v>1</v>
      </c>
      <c r="BD87" s="1">
        <v>0</v>
      </c>
      <c r="BE87" s="1">
        <v>5</v>
      </c>
      <c r="BG87" s="1" t="s">
        <v>224</v>
      </c>
      <c r="BH87" s="1" t="s">
        <v>210</v>
      </c>
      <c r="BK87" s="1" t="s">
        <v>282</v>
      </c>
      <c r="BO87" s="1" t="s">
        <v>233</v>
      </c>
      <c r="BR87" s="1">
        <v>1</v>
      </c>
      <c r="BS87" s="1">
        <v>0</v>
      </c>
      <c r="BT87" s="1">
        <v>0</v>
      </c>
      <c r="BU87" s="1">
        <v>1</v>
      </c>
      <c r="BV87" s="1">
        <v>1</v>
      </c>
      <c r="BW87" s="1">
        <v>1</v>
      </c>
      <c r="BX87" s="1">
        <v>0</v>
      </c>
      <c r="BZ87" s="1">
        <v>1</v>
      </c>
      <c r="CF87" s="1">
        <f t="shared" si="20"/>
        <v>0</v>
      </c>
      <c r="CH87" s="1">
        <v>3</v>
      </c>
      <c r="CO87" s="1">
        <v>4000</v>
      </c>
      <c r="CV87" s="1">
        <v>3</v>
      </c>
      <c r="DB87" s="7">
        <f t="shared" si="21"/>
        <v>1.3333333333333333</v>
      </c>
      <c r="DC87" s="5">
        <f t="shared" si="22"/>
        <v>3</v>
      </c>
      <c r="DE87" s="1">
        <v>3000</v>
      </c>
      <c r="DL87" s="1">
        <v>7</v>
      </c>
      <c r="DR87" s="1">
        <f t="shared" si="23"/>
        <v>7</v>
      </c>
      <c r="DZ87" s="1">
        <f t="shared" si="24"/>
        <v>0</v>
      </c>
      <c r="EF87" s="1">
        <f t="shared" si="25"/>
        <v>0</v>
      </c>
      <c r="EH87" s="1">
        <v>1</v>
      </c>
      <c r="EN87" s="1">
        <f t="shared" si="26"/>
        <v>1</v>
      </c>
      <c r="EP87" s="1">
        <v>1</v>
      </c>
      <c r="EV87" s="1">
        <f t="shared" si="27"/>
        <v>1</v>
      </c>
      <c r="EX87" s="1">
        <v>1</v>
      </c>
      <c r="FE87" s="1">
        <v>1</v>
      </c>
      <c r="FK87" s="1">
        <f t="shared" si="28"/>
        <v>1</v>
      </c>
      <c r="FM87" s="1">
        <v>0</v>
      </c>
      <c r="FS87" s="1">
        <f t="shared" si="29"/>
        <v>0</v>
      </c>
      <c r="FU87" s="1">
        <v>0</v>
      </c>
      <c r="GA87" s="1">
        <f t="shared" si="30"/>
        <v>0</v>
      </c>
      <c r="GJ87" s="1">
        <v>12500</v>
      </c>
      <c r="GP87" s="1">
        <f t="shared" si="31"/>
        <v>12500</v>
      </c>
      <c r="GR87" s="1">
        <v>20000</v>
      </c>
      <c r="GX87" s="1">
        <f t="shared" si="32"/>
        <v>20</v>
      </c>
      <c r="GZ87" s="1">
        <v>1</v>
      </c>
      <c r="HF87" s="1">
        <f t="shared" si="33"/>
        <v>1</v>
      </c>
      <c r="HH87" s="1">
        <v>11.5</v>
      </c>
      <c r="HN87" s="1">
        <f t="shared" si="34"/>
        <v>11.5</v>
      </c>
      <c r="HP87" s="1">
        <v>0</v>
      </c>
      <c r="HV87" s="1">
        <f t="shared" si="35"/>
        <v>0</v>
      </c>
      <c r="HX87" s="1" t="s">
        <v>284</v>
      </c>
      <c r="IE87" s="1">
        <v>1</v>
      </c>
      <c r="IK87" s="1">
        <v>0</v>
      </c>
      <c r="IL87" s="1">
        <v>0</v>
      </c>
      <c r="IM87" s="1">
        <v>0</v>
      </c>
      <c r="IN87" s="1">
        <v>120</v>
      </c>
      <c r="IO87" s="1">
        <v>0</v>
      </c>
    </row>
    <row r="88" spans="1:249" x14ac:dyDescent="0.25">
      <c r="A88" s="1">
        <v>87</v>
      </c>
      <c r="B88" s="1" t="s">
        <v>234</v>
      </c>
      <c r="C88" s="1" t="s">
        <v>235</v>
      </c>
      <c r="D88" s="1" t="s">
        <v>236</v>
      </c>
      <c r="E88" s="1" t="s">
        <v>259</v>
      </c>
      <c r="F88" s="1">
        <v>0</v>
      </c>
      <c r="G88" s="1">
        <v>0</v>
      </c>
      <c r="H88" s="1">
        <v>1</v>
      </c>
      <c r="I88" s="1">
        <v>34</v>
      </c>
      <c r="J88" s="1">
        <v>1</v>
      </c>
      <c r="K88" s="1">
        <v>1</v>
      </c>
      <c r="M88" s="1">
        <v>1</v>
      </c>
      <c r="N88" s="1">
        <v>1</v>
      </c>
      <c r="O88" s="1">
        <v>4</v>
      </c>
      <c r="P88" s="1">
        <v>6</v>
      </c>
      <c r="Q88" s="1">
        <v>900</v>
      </c>
      <c r="R88" s="1">
        <v>0</v>
      </c>
      <c r="T88" s="1">
        <v>1</v>
      </c>
      <c r="U88" s="1">
        <v>400</v>
      </c>
      <c r="V88" s="1">
        <v>1</v>
      </c>
      <c r="W88" s="1" t="s">
        <v>240</v>
      </c>
      <c r="X88" s="1">
        <v>2</v>
      </c>
      <c r="Y88" s="1">
        <f t="shared" si="18"/>
        <v>1</v>
      </c>
      <c r="Z88" s="1">
        <f t="shared" si="19"/>
        <v>0</v>
      </c>
      <c r="AA88" s="1">
        <v>5</v>
      </c>
      <c r="AC88" s="1">
        <v>0</v>
      </c>
      <c r="AD88" s="1">
        <v>0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0</v>
      </c>
      <c r="AK88" s="1">
        <v>0</v>
      </c>
      <c r="AL88" s="1">
        <v>1</v>
      </c>
      <c r="AM88" s="1">
        <v>6</v>
      </c>
      <c r="AO88" s="1">
        <v>1</v>
      </c>
      <c r="AP88" s="1">
        <v>0</v>
      </c>
      <c r="AQ88" s="1">
        <v>0</v>
      </c>
      <c r="AS88" s="1">
        <v>1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2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0.5</v>
      </c>
      <c r="BG88" s="1" t="s">
        <v>224</v>
      </c>
      <c r="BR88" s="1">
        <v>0</v>
      </c>
      <c r="BS88" s="1">
        <v>0</v>
      </c>
      <c r="BT88" s="1">
        <v>0</v>
      </c>
      <c r="BU88" s="1">
        <v>1</v>
      </c>
      <c r="BV88" s="1">
        <v>1</v>
      </c>
      <c r="BW88" s="1">
        <v>1</v>
      </c>
      <c r="BX88" s="1">
        <v>0</v>
      </c>
      <c r="BZ88" s="1">
        <v>1</v>
      </c>
      <c r="CF88" s="1">
        <f t="shared" si="20"/>
        <v>0</v>
      </c>
      <c r="CH88" s="1">
        <v>2</v>
      </c>
      <c r="CO88" s="1">
        <v>2500</v>
      </c>
      <c r="CV88" s="1">
        <v>2</v>
      </c>
      <c r="DB88" s="7">
        <f t="shared" si="21"/>
        <v>1.25</v>
      </c>
      <c r="DC88" s="5">
        <f t="shared" si="22"/>
        <v>3</v>
      </c>
      <c r="DE88" s="1">
        <v>3000</v>
      </c>
      <c r="DL88" s="1">
        <v>6</v>
      </c>
      <c r="DR88" s="1">
        <f t="shared" si="23"/>
        <v>6</v>
      </c>
      <c r="DZ88" s="1">
        <f t="shared" si="24"/>
        <v>0</v>
      </c>
      <c r="EF88" s="1">
        <f t="shared" si="25"/>
        <v>0</v>
      </c>
      <c r="EH88" s="1">
        <v>0</v>
      </c>
      <c r="EN88" s="1">
        <f t="shared" si="26"/>
        <v>0</v>
      </c>
      <c r="EP88" s="1">
        <v>1</v>
      </c>
      <c r="EV88" s="1">
        <f t="shared" si="27"/>
        <v>1</v>
      </c>
      <c r="EX88" s="1">
        <v>1</v>
      </c>
      <c r="FE88" s="1">
        <v>1</v>
      </c>
      <c r="FK88" s="1">
        <f t="shared" si="28"/>
        <v>1</v>
      </c>
      <c r="FM88" s="1">
        <v>0</v>
      </c>
      <c r="FS88" s="1">
        <f t="shared" si="29"/>
        <v>0</v>
      </c>
      <c r="FU88" s="1">
        <v>0</v>
      </c>
      <c r="GA88" s="1">
        <f t="shared" si="30"/>
        <v>0</v>
      </c>
      <c r="GJ88" s="1">
        <v>0</v>
      </c>
      <c r="GP88" s="1">
        <f t="shared" si="31"/>
        <v>0</v>
      </c>
      <c r="GR88" s="1">
        <v>15000</v>
      </c>
      <c r="GX88" s="1">
        <f t="shared" si="32"/>
        <v>15</v>
      </c>
      <c r="GZ88" s="1">
        <v>1</v>
      </c>
      <c r="HF88" s="1">
        <f t="shared" si="33"/>
        <v>1</v>
      </c>
      <c r="HH88" s="1">
        <v>10.5</v>
      </c>
      <c r="HN88" s="1">
        <f t="shared" si="34"/>
        <v>10.5</v>
      </c>
      <c r="HP88" s="1">
        <v>0</v>
      </c>
      <c r="HV88" s="1">
        <f t="shared" si="35"/>
        <v>0</v>
      </c>
      <c r="IK88" s="1">
        <v>0</v>
      </c>
      <c r="IL88" s="1">
        <v>80</v>
      </c>
      <c r="IM88" s="1">
        <v>16</v>
      </c>
      <c r="IN88" s="1">
        <v>80</v>
      </c>
      <c r="IO88" s="1">
        <v>0</v>
      </c>
    </row>
    <row r="89" spans="1:249" x14ac:dyDescent="0.25">
      <c r="A89" s="1">
        <v>88</v>
      </c>
      <c r="B89" s="1" t="s">
        <v>234</v>
      </c>
      <c r="C89" s="1" t="s">
        <v>235</v>
      </c>
      <c r="D89" s="1" t="s">
        <v>236</v>
      </c>
      <c r="E89" s="1" t="s">
        <v>259</v>
      </c>
      <c r="F89" s="1">
        <v>0</v>
      </c>
      <c r="G89" s="1">
        <v>0</v>
      </c>
      <c r="H89" s="1">
        <v>1</v>
      </c>
      <c r="I89" s="1">
        <v>73</v>
      </c>
      <c r="J89" s="1">
        <v>1</v>
      </c>
      <c r="K89" s="1">
        <v>1</v>
      </c>
      <c r="M89" s="1">
        <v>1</v>
      </c>
      <c r="N89" s="1">
        <v>1</v>
      </c>
      <c r="O89" s="1">
        <v>2</v>
      </c>
      <c r="P89" s="1">
        <v>50</v>
      </c>
      <c r="Q89" s="1">
        <v>3000</v>
      </c>
      <c r="R89" s="1">
        <v>1</v>
      </c>
      <c r="S89" s="1" t="s">
        <v>197</v>
      </c>
      <c r="T89" s="1">
        <v>1</v>
      </c>
      <c r="U89" s="1">
        <v>400</v>
      </c>
      <c r="V89" s="1">
        <v>1</v>
      </c>
      <c r="W89" s="1" t="s">
        <v>240</v>
      </c>
      <c r="X89" s="1">
        <v>3</v>
      </c>
      <c r="Y89" s="1">
        <f t="shared" si="18"/>
        <v>1</v>
      </c>
      <c r="Z89" s="1">
        <f t="shared" si="19"/>
        <v>0</v>
      </c>
      <c r="AA89" s="1">
        <v>6</v>
      </c>
      <c r="AC89" s="1">
        <v>0</v>
      </c>
      <c r="AD89" s="1">
        <v>0</v>
      </c>
      <c r="AE89" s="1">
        <v>1</v>
      </c>
      <c r="AF89" s="1">
        <v>1</v>
      </c>
      <c r="AG89" s="1">
        <v>1</v>
      </c>
      <c r="AH89" s="1">
        <v>1</v>
      </c>
      <c r="AI89" s="1">
        <v>1</v>
      </c>
      <c r="AJ89" s="1">
        <v>0</v>
      </c>
      <c r="AK89" s="1">
        <v>1</v>
      </c>
      <c r="AL89" s="1">
        <v>1</v>
      </c>
      <c r="AM89" s="1">
        <v>10</v>
      </c>
      <c r="AO89" s="1">
        <v>1</v>
      </c>
      <c r="AP89" s="1">
        <v>0</v>
      </c>
      <c r="AQ89" s="1">
        <v>0</v>
      </c>
      <c r="AS89" s="1">
        <v>1</v>
      </c>
      <c r="AT89" s="1">
        <v>1</v>
      </c>
      <c r="AU89" s="1">
        <v>0</v>
      </c>
      <c r="AV89" s="1">
        <v>0</v>
      </c>
      <c r="AW89" s="1">
        <v>0</v>
      </c>
      <c r="AX89" s="1">
        <v>0</v>
      </c>
      <c r="AY89" s="1">
        <v>4</v>
      </c>
      <c r="AZ89" s="1">
        <v>1</v>
      </c>
      <c r="BA89" s="1">
        <v>0</v>
      </c>
      <c r="BB89" s="1">
        <v>0</v>
      </c>
      <c r="BC89" s="1">
        <v>0</v>
      </c>
      <c r="BD89" s="1">
        <v>0</v>
      </c>
      <c r="BE89" s="1">
        <v>30</v>
      </c>
      <c r="BG89" s="1" t="s">
        <v>224</v>
      </c>
      <c r="BH89" s="1" t="s">
        <v>210</v>
      </c>
      <c r="BI89" s="1" t="s">
        <v>230</v>
      </c>
      <c r="BO89" s="1" t="s">
        <v>233</v>
      </c>
      <c r="BR89" s="1">
        <v>1</v>
      </c>
      <c r="BS89" s="1">
        <v>1</v>
      </c>
      <c r="BT89" s="1">
        <v>1</v>
      </c>
      <c r="BU89" s="1">
        <v>1</v>
      </c>
      <c r="BV89" s="1">
        <v>1</v>
      </c>
      <c r="BW89" s="1">
        <v>1</v>
      </c>
      <c r="BX89" s="1">
        <v>1</v>
      </c>
      <c r="BZ89" s="1">
        <v>1</v>
      </c>
      <c r="CF89" s="1">
        <f t="shared" si="20"/>
        <v>0</v>
      </c>
      <c r="CH89" s="1">
        <v>4</v>
      </c>
      <c r="CO89" s="1">
        <v>7000</v>
      </c>
      <c r="CV89" s="1">
        <v>4</v>
      </c>
      <c r="DB89" s="7">
        <f t="shared" si="21"/>
        <v>1.75</v>
      </c>
      <c r="DC89" s="5">
        <f t="shared" si="22"/>
        <v>3</v>
      </c>
      <c r="DE89" s="1">
        <v>3000</v>
      </c>
      <c r="DL89" s="1">
        <v>7</v>
      </c>
      <c r="DR89" s="1">
        <f t="shared" si="23"/>
        <v>7</v>
      </c>
      <c r="DZ89" s="1">
        <f t="shared" si="24"/>
        <v>0</v>
      </c>
      <c r="EC89" s="1">
        <v>1</v>
      </c>
      <c r="EF89" s="1">
        <f t="shared" si="25"/>
        <v>1</v>
      </c>
      <c r="EH89" s="1">
        <v>1</v>
      </c>
      <c r="EN89" s="1">
        <f t="shared" si="26"/>
        <v>1</v>
      </c>
      <c r="EP89" s="1">
        <v>1</v>
      </c>
      <c r="EV89" s="1">
        <f t="shared" si="27"/>
        <v>1</v>
      </c>
      <c r="EX89" s="1">
        <v>1</v>
      </c>
      <c r="FE89" s="1">
        <v>1</v>
      </c>
      <c r="FK89" s="1">
        <f t="shared" si="28"/>
        <v>1</v>
      </c>
      <c r="FM89" s="1">
        <v>0</v>
      </c>
      <c r="FS89" s="1">
        <f t="shared" si="29"/>
        <v>0</v>
      </c>
      <c r="FU89" s="1">
        <v>0</v>
      </c>
      <c r="GA89" s="1">
        <f t="shared" si="30"/>
        <v>0</v>
      </c>
      <c r="GJ89" s="1">
        <v>12500</v>
      </c>
      <c r="GP89" s="1">
        <f t="shared" si="31"/>
        <v>12500</v>
      </c>
      <c r="GR89" s="1">
        <v>30000</v>
      </c>
      <c r="GX89" s="1">
        <f t="shared" si="32"/>
        <v>30</v>
      </c>
      <c r="GZ89" s="1">
        <v>1</v>
      </c>
      <c r="HF89" s="1">
        <f t="shared" si="33"/>
        <v>1</v>
      </c>
      <c r="HH89" s="1">
        <v>11.5</v>
      </c>
      <c r="HN89" s="1">
        <f t="shared" si="34"/>
        <v>11.5</v>
      </c>
      <c r="HP89" s="1">
        <v>0</v>
      </c>
      <c r="HV89" s="1">
        <f t="shared" si="35"/>
        <v>0</v>
      </c>
      <c r="HX89" s="1" t="s">
        <v>284</v>
      </c>
      <c r="IE89" s="1">
        <v>1</v>
      </c>
      <c r="IK89" s="1">
        <v>128</v>
      </c>
      <c r="IL89" s="1">
        <v>0</v>
      </c>
      <c r="IM89" s="1">
        <v>0</v>
      </c>
      <c r="IN89" s="1">
        <v>160</v>
      </c>
      <c r="IO89" s="1">
        <v>0</v>
      </c>
    </row>
    <row r="90" spans="1:249" x14ac:dyDescent="0.25">
      <c r="A90" s="1">
        <v>89</v>
      </c>
      <c r="B90" s="1" t="s">
        <v>237</v>
      </c>
      <c r="C90" s="1" t="s">
        <v>194</v>
      </c>
      <c r="D90" s="1" t="s">
        <v>286</v>
      </c>
      <c r="E90" s="1" t="s">
        <v>286</v>
      </c>
      <c r="F90" s="1">
        <v>1</v>
      </c>
      <c r="G90" s="1">
        <v>0</v>
      </c>
      <c r="H90" s="1">
        <v>0</v>
      </c>
      <c r="I90" s="1">
        <v>69</v>
      </c>
      <c r="J90" s="1">
        <v>1</v>
      </c>
      <c r="K90" s="1">
        <v>1</v>
      </c>
      <c r="M90" s="1">
        <v>1</v>
      </c>
      <c r="N90" s="1">
        <v>1</v>
      </c>
      <c r="O90" s="1">
        <v>0</v>
      </c>
      <c r="P90" s="1">
        <v>40</v>
      </c>
      <c r="Q90" s="1">
        <v>1000</v>
      </c>
      <c r="R90" s="1">
        <v>0</v>
      </c>
      <c r="T90" s="1">
        <v>0</v>
      </c>
      <c r="U90" s="1">
        <v>0</v>
      </c>
      <c r="V90" s="1">
        <v>1</v>
      </c>
      <c r="W90" s="1" t="s">
        <v>240</v>
      </c>
      <c r="X90" s="1">
        <v>3</v>
      </c>
      <c r="Y90" s="1">
        <f t="shared" si="18"/>
        <v>1</v>
      </c>
      <c r="Z90" s="1">
        <f t="shared" si="19"/>
        <v>0</v>
      </c>
      <c r="AA90" s="1">
        <v>8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0</v>
      </c>
      <c r="AK90" s="1">
        <v>0</v>
      </c>
      <c r="AL90" s="1">
        <v>1</v>
      </c>
      <c r="AM90" s="1">
        <v>7</v>
      </c>
      <c r="AO90" s="1">
        <v>1</v>
      </c>
      <c r="AP90" s="1">
        <v>0</v>
      </c>
      <c r="AQ90" s="1">
        <v>0</v>
      </c>
      <c r="AS90" s="1">
        <v>1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2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2</v>
      </c>
      <c r="BG90" s="1" t="s">
        <v>224</v>
      </c>
      <c r="BR90" s="1">
        <v>0</v>
      </c>
      <c r="BS90" s="1">
        <v>1</v>
      </c>
      <c r="BT90" s="1">
        <v>0</v>
      </c>
      <c r="BU90" s="1">
        <v>1</v>
      </c>
      <c r="BV90" s="1">
        <v>1</v>
      </c>
      <c r="BW90" s="1">
        <v>1</v>
      </c>
      <c r="BX90" s="1">
        <v>0</v>
      </c>
      <c r="BZ90" s="1">
        <v>1</v>
      </c>
      <c r="CF90" s="1">
        <f t="shared" si="20"/>
        <v>0</v>
      </c>
      <c r="CH90" s="1">
        <v>2</v>
      </c>
      <c r="CO90" s="1">
        <v>1000</v>
      </c>
      <c r="CV90" s="1">
        <v>2</v>
      </c>
      <c r="DB90" s="7">
        <f t="shared" si="21"/>
        <v>0.5</v>
      </c>
      <c r="DC90" s="5">
        <f t="shared" si="22"/>
        <v>1</v>
      </c>
      <c r="DE90" s="1">
        <v>6666</v>
      </c>
      <c r="DL90" s="1">
        <v>7</v>
      </c>
      <c r="DR90" s="1">
        <f t="shared" si="23"/>
        <v>7</v>
      </c>
      <c r="DZ90" s="1">
        <f t="shared" si="24"/>
        <v>0</v>
      </c>
      <c r="EC90" s="1">
        <v>1</v>
      </c>
      <c r="EF90" s="1">
        <f t="shared" si="25"/>
        <v>1</v>
      </c>
      <c r="EH90" s="1">
        <v>1</v>
      </c>
      <c r="EN90" s="1">
        <f t="shared" si="26"/>
        <v>1</v>
      </c>
      <c r="EP90" s="1">
        <v>1</v>
      </c>
      <c r="EV90" s="1">
        <f t="shared" si="27"/>
        <v>1</v>
      </c>
      <c r="EX90" s="1">
        <v>0</v>
      </c>
      <c r="FE90" s="1">
        <v>1</v>
      </c>
      <c r="FK90" s="1">
        <f t="shared" si="28"/>
        <v>1</v>
      </c>
      <c r="FM90" s="1">
        <v>1</v>
      </c>
      <c r="FS90" s="1">
        <f t="shared" si="29"/>
        <v>1</v>
      </c>
      <c r="FU90" s="1">
        <v>1</v>
      </c>
      <c r="GA90" s="1">
        <f t="shared" si="30"/>
        <v>1</v>
      </c>
      <c r="GC90" s="1" t="s">
        <v>287</v>
      </c>
      <c r="GJ90" s="1">
        <v>0</v>
      </c>
      <c r="GP90" s="1">
        <f t="shared" si="31"/>
        <v>0</v>
      </c>
      <c r="GR90" s="1">
        <v>350</v>
      </c>
      <c r="GX90" s="1">
        <f t="shared" si="32"/>
        <v>0.35</v>
      </c>
      <c r="GZ90" s="1">
        <v>1</v>
      </c>
      <c r="HF90" s="1">
        <f t="shared" si="33"/>
        <v>1</v>
      </c>
      <c r="HH90" s="1">
        <v>11.5</v>
      </c>
      <c r="HN90" s="1">
        <f t="shared" si="34"/>
        <v>11.5</v>
      </c>
      <c r="HP90" s="1">
        <v>0</v>
      </c>
      <c r="HV90" s="1">
        <f t="shared" si="35"/>
        <v>0</v>
      </c>
      <c r="IK90" s="1">
        <v>64</v>
      </c>
      <c r="IL90" s="1">
        <v>0</v>
      </c>
      <c r="IM90" s="1">
        <v>0</v>
      </c>
      <c r="IN90" s="1">
        <v>80</v>
      </c>
      <c r="IO90" s="1">
        <v>0</v>
      </c>
    </row>
    <row r="91" spans="1:249" x14ac:dyDescent="0.25">
      <c r="A91" s="1">
        <v>90</v>
      </c>
      <c r="B91" s="1" t="s">
        <v>237</v>
      </c>
      <c r="C91" s="1" t="s">
        <v>194</v>
      </c>
      <c r="D91" s="1" t="s">
        <v>286</v>
      </c>
      <c r="E91" s="1" t="s">
        <v>286</v>
      </c>
      <c r="F91" s="1">
        <v>1</v>
      </c>
      <c r="G91" s="1">
        <v>0</v>
      </c>
      <c r="H91" s="1">
        <v>0</v>
      </c>
      <c r="I91" s="1">
        <v>23</v>
      </c>
      <c r="J91" s="1">
        <v>0</v>
      </c>
      <c r="K91" s="1">
        <v>0</v>
      </c>
      <c r="L91" s="1">
        <v>1</v>
      </c>
      <c r="M91" s="1">
        <v>1</v>
      </c>
      <c r="N91" s="1">
        <v>1</v>
      </c>
      <c r="O91" s="1">
        <v>3</v>
      </c>
      <c r="P91" s="1">
        <v>13</v>
      </c>
      <c r="Q91" s="1">
        <v>600</v>
      </c>
      <c r="R91" s="1">
        <v>0</v>
      </c>
      <c r="T91" s="1">
        <v>0</v>
      </c>
      <c r="U91" s="1">
        <v>0</v>
      </c>
      <c r="V91" s="1">
        <v>1</v>
      </c>
      <c r="W91" s="1" t="s">
        <v>240</v>
      </c>
      <c r="X91" s="1">
        <v>5</v>
      </c>
      <c r="Y91" s="1">
        <f t="shared" si="18"/>
        <v>0</v>
      </c>
      <c r="Z91" s="1">
        <f t="shared" si="19"/>
        <v>1</v>
      </c>
      <c r="AA91" s="1">
        <v>12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0</v>
      </c>
      <c r="AK91" s="1">
        <v>0</v>
      </c>
      <c r="AL91" s="1">
        <v>1</v>
      </c>
      <c r="AM91" s="1">
        <v>7</v>
      </c>
      <c r="AO91" s="1">
        <v>1</v>
      </c>
      <c r="AP91" s="1">
        <v>1</v>
      </c>
      <c r="AQ91" s="1">
        <v>0</v>
      </c>
      <c r="AS91" s="1">
        <v>1</v>
      </c>
      <c r="AT91" s="1">
        <v>1</v>
      </c>
      <c r="AU91" s="1">
        <v>1</v>
      </c>
      <c r="AV91" s="1">
        <v>0</v>
      </c>
      <c r="AW91" s="1">
        <v>0</v>
      </c>
      <c r="AX91" s="1">
        <v>0</v>
      </c>
      <c r="AY91" s="1">
        <v>2</v>
      </c>
      <c r="AZ91" s="1">
        <v>0.25</v>
      </c>
      <c r="BA91" s="1">
        <v>1</v>
      </c>
      <c r="BB91" s="1">
        <v>0</v>
      </c>
      <c r="BC91" s="1">
        <v>0</v>
      </c>
      <c r="BD91" s="1">
        <v>0</v>
      </c>
      <c r="BE91" s="1">
        <v>2</v>
      </c>
      <c r="BG91" s="1" t="s">
        <v>224</v>
      </c>
      <c r="BH91" s="1" t="s">
        <v>260</v>
      </c>
      <c r="BK91" s="1" t="s">
        <v>282</v>
      </c>
      <c r="BR91" s="1">
        <v>1</v>
      </c>
      <c r="BS91" s="1">
        <v>0</v>
      </c>
      <c r="BT91" s="1">
        <v>0</v>
      </c>
      <c r="BU91" s="1">
        <v>1</v>
      </c>
      <c r="BV91" s="1">
        <v>1</v>
      </c>
      <c r="BW91" s="1">
        <v>1</v>
      </c>
      <c r="BX91" s="1">
        <v>0</v>
      </c>
      <c r="BZ91" s="1">
        <v>1</v>
      </c>
      <c r="CF91" s="1">
        <f t="shared" si="20"/>
        <v>0</v>
      </c>
      <c r="CH91" s="1">
        <v>2</v>
      </c>
      <c r="CO91" s="1">
        <v>1000</v>
      </c>
      <c r="CV91" s="1">
        <v>2</v>
      </c>
      <c r="DB91" s="7">
        <f t="shared" si="21"/>
        <v>0.5</v>
      </c>
      <c r="DC91" s="5">
        <f t="shared" si="22"/>
        <v>1</v>
      </c>
      <c r="DE91" s="1">
        <v>3333</v>
      </c>
      <c r="DL91" s="1">
        <v>8</v>
      </c>
      <c r="DR91" s="1">
        <f t="shared" si="23"/>
        <v>8</v>
      </c>
      <c r="DT91" s="1">
        <v>1</v>
      </c>
      <c r="DZ91" s="1">
        <f t="shared" si="24"/>
        <v>1</v>
      </c>
      <c r="EF91" s="1">
        <f t="shared" si="25"/>
        <v>0</v>
      </c>
      <c r="EH91" s="1">
        <v>1</v>
      </c>
      <c r="EN91" s="1">
        <f t="shared" si="26"/>
        <v>1</v>
      </c>
      <c r="EP91" s="1">
        <v>0</v>
      </c>
      <c r="EV91" s="1">
        <f t="shared" si="27"/>
        <v>0</v>
      </c>
      <c r="EX91" s="1">
        <v>0</v>
      </c>
      <c r="FE91" s="1">
        <v>1</v>
      </c>
      <c r="FK91" s="1">
        <f t="shared" si="28"/>
        <v>1</v>
      </c>
      <c r="FM91" s="1">
        <v>0</v>
      </c>
      <c r="FS91" s="1">
        <f t="shared" si="29"/>
        <v>0</v>
      </c>
      <c r="FU91" s="1">
        <v>1</v>
      </c>
      <c r="GA91" s="1">
        <f t="shared" si="30"/>
        <v>1</v>
      </c>
      <c r="GC91" s="1" t="s">
        <v>287</v>
      </c>
      <c r="GJ91" s="1">
        <v>0</v>
      </c>
      <c r="GP91" s="1">
        <f t="shared" si="31"/>
        <v>0</v>
      </c>
      <c r="GR91" s="1">
        <v>1500</v>
      </c>
      <c r="GX91" s="1">
        <f t="shared" si="32"/>
        <v>1.5</v>
      </c>
      <c r="GZ91" s="1">
        <v>1</v>
      </c>
      <c r="HF91" s="1">
        <f t="shared" si="33"/>
        <v>1</v>
      </c>
      <c r="HH91" s="1">
        <v>6.5</v>
      </c>
      <c r="HN91" s="1">
        <f t="shared" si="34"/>
        <v>6.5</v>
      </c>
      <c r="HP91" s="1">
        <v>0</v>
      </c>
      <c r="HV91" s="1">
        <f t="shared" si="35"/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</row>
    <row r="92" spans="1:249" x14ac:dyDescent="0.25">
      <c r="A92" s="1">
        <v>91</v>
      </c>
      <c r="B92" s="1" t="s">
        <v>237</v>
      </c>
      <c r="C92" s="1" t="s">
        <v>194</v>
      </c>
      <c r="D92" s="1" t="s">
        <v>286</v>
      </c>
      <c r="E92" s="1" t="s">
        <v>286</v>
      </c>
      <c r="F92" s="1">
        <v>1</v>
      </c>
      <c r="G92" s="1">
        <v>0</v>
      </c>
      <c r="H92" s="1">
        <v>0</v>
      </c>
      <c r="I92" s="1">
        <v>40</v>
      </c>
      <c r="J92" s="1">
        <v>1</v>
      </c>
      <c r="K92" s="1">
        <v>1</v>
      </c>
      <c r="M92" s="1">
        <v>0</v>
      </c>
      <c r="N92" s="1">
        <v>1</v>
      </c>
      <c r="O92" s="1">
        <v>4</v>
      </c>
      <c r="P92" s="1">
        <v>40</v>
      </c>
      <c r="Q92" s="1">
        <v>900</v>
      </c>
      <c r="R92" s="1">
        <v>0</v>
      </c>
      <c r="T92" s="1">
        <v>0</v>
      </c>
      <c r="U92" s="1">
        <v>0</v>
      </c>
      <c r="V92" s="1">
        <v>1</v>
      </c>
      <c r="W92" s="1" t="s">
        <v>240</v>
      </c>
      <c r="X92" s="1">
        <v>3</v>
      </c>
      <c r="Y92" s="1">
        <f t="shared" si="18"/>
        <v>1</v>
      </c>
      <c r="Z92" s="1">
        <f t="shared" si="19"/>
        <v>0</v>
      </c>
      <c r="AA92" s="1">
        <v>7</v>
      </c>
      <c r="AC92" s="1">
        <v>1</v>
      </c>
      <c r="AD92" s="1">
        <v>1</v>
      </c>
      <c r="AE92" s="1">
        <v>1</v>
      </c>
      <c r="AF92" s="1">
        <v>0</v>
      </c>
      <c r="AG92" s="1">
        <v>1</v>
      </c>
      <c r="AH92" s="1">
        <v>0</v>
      </c>
      <c r="AI92" s="1">
        <v>1</v>
      </c>
      <c r="AJ92" s="1">
        <v>0</v>
      </c>
      <c r="AK92" s="1">
        <v>0</v>
      </c>
      <c r="AL92" s="1">
        <v>1</v>
      </c>
      <c r="AM92" s="1">
        <v>3</v>
      </c>
      <c r="AO92" s="1">
        <v>1</v>
      </c>
      <c r="AP92" s="1">
        <v>1</v>
      </c>
      <c r="AQ92" s="1">
        <v>1</v>
      </c>
      <c r="AS92" s="1">
        <v>1</v>
      </c>
      <c r="AT92" s="1">
        <v>1</v>
      </c>
      <c r="AU92" s="1">
        <v>1</v>
      </c>
      <c r="AV92" s="1">
        <v>0</v>
      </c>
      <c r="AW92" s="1">
        <v>1</v>
      </c>
      <c r="AX92" s="1">
        <v>0</v>
      </c>
      <c r="AY92" s="1">
        <v>1</v>
      </c>
      <c r="AZ92" s="1">
        <v>0.5</v>
      </c>
      <c r="BA92" s="1">
        <v>1</v>
      </c>
      <c r="BB92" s="1">
        <v>0</v>
      </c>
      <c r="BC92" s="1">
        <v>1</v>
      </c>
      <c r="BD92" s="1">
        <v>0</v>
      </c>
      <c r="BE92" s="1">
        <v>5</v>
      </c>
      <c r="BG92" s="1" t="s">
        <v>224</v>
      </c>
      <c r="BH92" s="1" t="s">
        <v>210</v>
      </c>
      <c r="BI92" s="1" t="s">
        <v>260</v>
      </c>
      <c r="BK92" s="1" t="s">
        <v>282</v>
      </c>
      <c r="BO92" s="1" t="s">
        <v>233</v>
      </c>
      <c r="BR92" s="1">
        <v>1</v>
      </c>
      <c r="BS92" s="1">
        <v>0</v>
      </c>
      <c r="BT92" s="1">
        <v>0</v>
      </c>
      <c r="BU92" s="1">
        <v>1</v>
      </c>
      <c r="BV92" s="1">
        <v>1</v>
      </c>
      <c r="BW92" s="1">
        <v>1</v>
      </c>
      <c r="BX92" s="1">
        <v>0</v>
      </c>
      <c r="BZ92" s="1">
        <v>1</v>
      </c>
      <c r="CF92" s="1">
        <f t="shared" si="20"/>
        <v>0</v>
      </c>
      <c r="CH92" s="1">
        <v>0.5</v>
      </c>
      <c r="CO92" s="1">
        <v>300</v>
      </c>
      <c r="CV92" s="1">
        <v>0.5</v>
      </c>
      <c r="DB92" s="7">
        <f t="shared" si="21"/>
        <v>0.6</v>
      </c>
      <c r="DC92" s="5">
        <f t="shared" si="22"/>
        <v>1</v>
      </c>
      <c r="DE92" s="1">
        <v>3333</v>
      </c>
      <c r="DL92" s="1">
        <v>5</v>
      </c>
      <c r="DR92" s="1">
        <f t="shared" si="23"/>
        <v>5</v>
      </c>
      <c r="DZ92" s="1">
        <f t="shared" si="24"/>
        <v>0</v>
      </c>
      <c r="EE92" s="1">
        <v>1</v>
      </c>
      <c r="EF92" s="1">
        <f t="shared" si="25"/>
        <v>1</v>
      </c>
      <c r="EH92" s="1">
        <v>1</v>
      </c>
      <c r="EN92" s="1">
        <f t="shared" si="26"/>
        <v>1</v>
      </c>
      <c r="EP92" s="1">
        <v>0</v>
      </c>
      <c r="EV92" s="1">
        <f t="shared" si="27"/>
        <v>0</v>
      </c>
      <c r="EX92" s="1">
        <v>0</v>
      </c>
      <c r="FE92" s="1">
        <v>1</v>
      </c>
      <c r="FK92" s="1">
        <f t="shared" si="28"/>
        <v>1</v>
      </c>
      <c r="FM92" s="1">
        <v>0</v>
      </c>
      <c r="FS92" s="1">
        <f t="shared" si="29"/>
        <v>0</v>
      </c>
      <c r="FU92" s="1">
        <v>1</v>
      </c>
      <c r="GA92" s="1">
        <f t="shared" si="30"/>
        <v>1</v>
      </c>
      <c r="GC92" s="1" t="s">
        <v>287</v>
      </c>
      <c r="GJ92" s="1">
        <v>0</v>
      </c>
      <c r="GP92" s="1">
        <f t="shared" si="31"/>
        <v>0</v>
      </c>
      <c r="GR92" s="1">
        <v>1000</v>
      </c>
      <c r="GX92" s="1">
        <f t="shared" si="32"/>
        <v>1</v>
      </c>
      <c r="GZ92" s="1">
        <v>1</v>
      </c>
      <c r="HF92" s="1">
        <f t="shared" si="33"/>
        <v>1</v>
      </c>
      <c r="HH92" s="1">
        <v>10</v>
      </c>
      <c r="HN92" s="1">
        <f t="shared" si="34"/>
        <v>10</v>
      </c>
      <c r="HP92" s="1">
        <v>0</v>
      </c>
      <c r="HV92" s="1">
        <f t="shared" si="35"/>
        <v>0</v>
      </c>
      <c r="HX92" s="1" t="s">
        <v>284</v>
      </c>
      <c r="IE92" s="1">
        <v>1</v>
      </c>
      <c r="IK92" s="1">
        <v>0</v>
      </c>
      <c r="IL92" s="1">
        <v>20</v>
      </c>
      <c r="IM92" s="1">
        <v>4</v>
      </c>
      <c r="IN92" s="1">
        <v>20</v>
      </c>
      <c r="IO92" s="1">
        <v>0</v>
      </c>
    </row>
    <row r="93" spans="1:249" x14ac:dyDescent="0.25">
      <c r="A93" s="1">
        <v>92</v>
      </c>
      <c r="B93" s="1" t="s">
        <v>237</v>
      </c>
      <c r="C93" s="1" t="s">
        <v>194</v>
      </c>
      <c r="D93" s="1" t="s">
        <v>286</v>
      </c>
      <c r="E93" s="1" t="s">
        <v>286</v>
      </c>
      <c r="F93" s="1">
        <v>1</v>
      </c>
      <c r="G93" s="1">
        <v>0</v>
      </c>
      <c r="H93" s="1">
        <v>0</v>
      </c>
      <c r="I93" s="1">
        <v>50</v>
      </c>
      <c r="J93" s="1">
        <v>1</v>
      </c>
      <c r="K93" s="1">
        <v>1</v>
      </c>
      <c r="M93" s="1">
        <v>0</v>
      </c>
      <c r="N93" s="1">
        <v>0</v>
      </c>
      <c r="O93" s="1">
        <v>3</v>
      </c>
      <c r="P93" s="1">
        <v>50</v>
      </c>
      <c r="Q93" s="1">
        <v>1500</v>
      </c>
      <c r="R93" s="1">
        <v>0</v>
      </c>
      <c r="T93" s="1">
        <v>0</v>
      </c>
      <c r="U93" s="1">
        <v>0</v>
      </c>
      <c r="V93" s="1">
        <v>1</v>
      </c>
      <c r="W93" s="1" t="s">
        <v>240</v>
      </c>
      <c r="X93" s="1">
        <v>5</v>
      </c>
      <c r="Y93" s="1">
        <f t="shared" si="18"/>
        <v>0</v>
      </c>
      <c r="Z93" s="1">
        <f t="shared" si="19"/>
        <v>1</v>
      </c>
      <c r="AA93" s="1">
        <v>12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0</v>
      </c>
      <c r="AI93" s="1">
        <v>1</v>
      </c>
      <c r="AJ93" s="1">
        <v>0</v>
      </c>
      <c r="AK93" s="1">
        <v>0</v>
      </c>
      <c r="AL93" s="1">
        <v>1</v>
      </c>
      <c r="AM93" s="1">
        <v>10</v>
      </c>
      <c r="AO93" s="1">
        <v>1</v>
      </c>
      <c r="AP93" s="1">
        <v>1</v>
      </c>
      <c r="AQ93" s="1">
        <v>1</v>
      </c>
      <c r="AS93" s="1">
        <v>1</v>
      </c>
      <c r="AT93" s="1">
        <v>0</v>
      </c>
      <c r="AU93" s="1">
        <v>1</v>
      </c>
      <c r="AV93" s="1">
        <v>1</v>
      </c>
      <c r="AW93" s="1">
        <v>1</v>
      </c>
      <c r="AX93" s="1">
        <v>0</v>
      </c>
      <c r="AY93" s="1">
        <v>2</v>
      </c>
      <c r="AZ93" s="1">
        <v>0</v>
      </c>
      <c r="BA93" s="1">
        <v>3</v>
      </c>
      <c r="BB93" s="1">
        <v>1</v>
      </c>
      <c r="BC93" s="1">
        <v>0.25</v>
      </c>
      <c r="BD93" s="1">
        <v>0</v>
      </c>
      <c r="BE93" s="1">
        <v>3</v>
      </c>
      <c r="BG93" s="1" t="s">
        <v>224</v>
      </c>
      <c r="BK93" s="1" t="s">
        <v>282</v>
      </c>
      <c r="BL93" s="1" t="s">
        <v>283</v>
      </c>
      <c r="BO93" s="1" t="s">
        <v>233</v>
      </c>
      <c r="BR93" s="1">
        <v>0</v>
      </c>
      <c r="BS93" s="1">
        <v>0</v>
      </c>
      <c r="BT93" s="1">
        <v>0</v>
      </c>
      <c r="BU93" s="1">
        <v>1</v>
      </c>
      <c r="BV93" s="1">
        <v>1</v>
      </c>
      <c r="BW93" s="1">
        <v>1</v>
      </c>
      <c r="BX93" s="1">
        <v>0</v>
      </c>
      <c r="BZ93" s="1">
        <v>1</v>
      </c>
      <c r="CF93" s="1">
        <f t="shared" si="20"/>
        <v>0</v>
      </c>
      <c r="CH93" s="1">
        <v>2</v>
      </c>
      <c r="CO93" s="1">
        <v>1500</v>
      </c>
      <c r="CV93" s="1">
        <v>2</v>
      </c>
      <c r="DB93" s="7">
        <f t="shared" si="21"/>
        <v>0.75</v>
      </c>
      <c r="DC93" s="5">
        <f t="shared" si="22"/>
        <v>2</v>
      </c>
      <c r="DE93" s="1">
        <v>3333</v>
      </c>
      <c r="DL93" s="1">
        <v>7</v>
      </c>
      <c r="DR93" s="1">
        <f t="shared" si="23"/>
        <v>7</v>
      </c>
      <c r="DT93" s="1">
        <v>1</v>
      </c>
      <c r="DZ93" s="1">
        <f t="shared" si="24"/>
        <v>1</v>
      </c>
      <c r="EC93" s="1">
        <v>1</v>
      </c>
      <c r="EF93" s="1">
        <f t="shared" si="25"/>
        <v>1</v>
      </c>
      <c r="EH93" s="1">
        <v>1</v>
      </c>
      <c r="EN93" s="1">
        <f t="shared" si="26"/>
        <v>1</v>
      </c>
      <c r="EP93" s="1">
        <v>0</v>
      </c>
      <c r="EV93" s="1">
        <f t="shared" si="27"/>
        <v>0</v>
      </c>
      <c r="EX93" s="1">
        <v>0</v>
      </c>
      <c r="FE93" s="1">
        <v>1</v>
      </c>
      <c r="FK93" s="1">
        <f t="shared" si="28"/>
        <v>1</v>
      </c>
      <c r="FM93" s="1">
        <v>0</v>
      </c>
      <c r="FS93" s="1">
        <f t="shared" si="29"/>
        <v>0</v>
      </c>
      <c r="FU93" s="1">
        <v>1</v>
      </c>
      <c r="GA93" s="1">
        <f t="shared" si="30"/>
        <v>1</v>
      </c>
      <c r="GC93" s="1" t="s">
        <v>287</v>
      </c>
      <c r="GJ93" s="1">
        <v>0</v>
      </c>
      <c r="GP93" s="1">
        <f t="shared" si="31"/>
        <v>0</v>
      </c>
      <c r="GR93" s="1">
        <v>1500</v>
      </c>
      <c r="GX93" s="1">
        <f t="shared" si="32"/>
        <v>1.5</v>
      </c>
      <c r="GZ93" s="1">
        <v>1</v>
      </c>
      <c r="HF93" s="1">
        <f t="shared" si="33"/>
        <v>1</v>
      </c>
      <c r="HH93" s="1">
        <v>11.5</v>
      </c>
      <c r="HN93" s="1">
        <f t="shared" si="34"/>
        <v>11.5</v>
      </c>
      <c r="HP93" s="1">
        <v>0</v>
      </c>
      <c r="HV93" s="1">
        <f t="shared" si="35"/>
        <v>0</v>
      </c>
      <c r="IK93" s="1">
        <v>0</v>
      </c>
      <c r="IL93" s="1">
        <v>0</v>
      </c>
      <c r="IM93" s="1">
        <v>0</v>
      </c>
      <c r="IN93" s="1">
        <v>80</v>
      </c>
      <c r="IO93" s="1">
        <v>0</v>
      </c>
    </row>
    <row r="94" spans="1:249" x14ac:dyDescent="0.25">
      <c r="A94" s="1">
        <v>93</v>
      </c>
      <c r="B94" s="1" t="s">
        <v>237</v>
      </c>
      <c r="C94" s="1" t="s">
        <v>194</v>
      </c>
      <c r="D94" s="1" t="s">
        <v>219</v>
      </c>
      <c r="E94" s="1" t="s">
        <v>219</v>
      </c>
      <c r="F94" s="1">
        <v>0</v>
      </c>
      <c r="G94" s="1">
        <v>1</v>
      </c>
      <c r="H94" s="1">
        <v>0</v>
      </c>
      <c r="I94" s="1">
        <v>28</v>
      </c>
      <c r="J94" s="1">
        <v>0</v>
      </c>
      <c r="K94" s="1">
        <v>1</v>
      </c>
      <c r="L94" s="1">
        <v>1</v>
      </c>
      <c r="M94" s="1">
        <v>0</v>
      </c>
      <c r="N94" s="1">
        <v>1</v>
      </c>
      <c r="O94" s="1">
        <v>4</v>
      </c>
      <c r="P94" s="1">
        <v>28</v>
      </c>
      <c r="Q94" s="1">
        <v>1000</v>
      </c>
      <c r="R94" s="1">
        <v>1</v>
      </c>
      <c r="S94" s="1" t="s">
        <v>279</v>
      </c>
      <c r="T94" s="1">
        <v>1</v>
      </c>
      <c r="U94" s="1">
        <v>500</v>
      </c>
      <c r="V94" s="1">
        <v>1</v>
      </c>
      <c r="W94" s="1" t="s">
        <v>278</v>
      </c>
      <c r="X94" s="1">
        <v>8</v>
      </c>
      <c r="Y94" s="1">
        <f t="shared" si="18"/>
        <v>0</v>
      </c>
      <c r="Z94" s="1">
        <f t="shared" si="19"/>
        <v>0</v>
      </c>
      <c r="AA94" s="1">
        <v>15</v>
      </c>
      <c r="AC94" s="1">
        <v>0</v>
      </c>
      <c r="AD94" s="1">
        <v>1</v>
      </c>
      <c r="AE94" s="1">
        <v>1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5</v>
      </c>
      <c r="AO94" s="1">
        <v>1</v>
      </c>
      <c r="AP94" s="1">
        <v>0</v>
      </c>
      <c r="AQ94" s="1">
        <v>0</v>
      </c>
      <c r="AS94" s="1">
        <v>1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1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G94" s="1" t="s">
        <v>224</v>
      </c>
      <c r="BH94" s="1" t="s">
        <v>210</v>
      </c>
      <c r="BO94" s="1" t="s">
        <v>233</v>
      </c>
      <c r="BR94" s="1">
        <v>1</v>
      </c>
      <c r="BS94" s="1">
        <v>1</v>
      </c>
      <c r="BT94" s="1">
        <v>1</v>
      </c>
      <c r="BU94" s="1">
        <v>1</v>
      </c>
      <c r="BV94" s="1">
        <v>1</v>
      </c>
      <c r="BW94" s="1">
        <v>1</v>
      </c>
      <c r="BX94" s="1">
        <v>1</v>
      </c>
      <c r="BZ94" s="1">
        <v>1</v>
      </c>
      <c r="CF94" s="1">
        <f t="shared" si="20"/>
        <v>0</v>
      </c>
      <c r="CH94" s="1">
        <v>1</v>
      </c>
      <c r="CO94" s="1">
        <v>0</v>
      </c>
      <c r="CV94" s="1">
        <v>1</v>
      </c>
      <c r="DB94" s="7">
        <f t="shared" si="21"/>
        <v>0</v>
      </c>
      <c r="DC94" s="5">
        <f t="shared" si="22"/>
        <v>1</v>
      </c>
      <c r="DE94" s="1">
        <v>3000</v>
      </c>
      <c r="DL94" s="1">
        <v>5</v>
      </c>
      <c r="DR94" s="1">
        <f t="shared" si="23"/>
        <v>5</v>
      </c>
      <c r="DT94" s="1">
        <v>1</v>
      </c>
      <c r="DZ94" s="1">
        <f t="shared" si="24"/>
        <v>1</v>
      </c>
      <c r="EB94" s="1">
        <v>1</v>
      </c>
      <c r="EF94" s="1">
        <f t="shared" si="25"/>
        <v>1</v>
      </c>
      <c r="EH94" s="1">
        <v>1</v>
      </c>
      <c r="EN94" s="1">
        <f t="shared" si="26"/>
        <v>1</v>
      </c>
      <c r="EP94" s="1">
        <v>1</v>
      </c>
      <c r="EV94" s="1">
        <f t="shared" si="27"/>
        <v>1</v>
      </c>
      <c r="EX94" s="1">
        <v>1</v>
      </c>
      <c r="FE94" s="1">
        <v>1</v>
      </c>
      <c r="FK94" s="1">
        <f t="shared" si="28"/>
        <v>1</v>
      </c>
      <c r="FM94" s="1">
        <v>1</v>
      </c>
      <c r="FS94" s="1">
        <f t="shared" si="29"/>
        <v>1</v>
      </c>
      <c r="FU94" s="1">
        <v>1</v>
      </c>
      <c r="GA94" s="1">
        <f t="shared" si="30"/>
        <v>1</v>
      </c>
      <c r="GC94" s="1" t="s">
        <v>287</v>
      </c>
      <c r="GJ94" s="1">
        <v>0</v>
      </c>
      <c r="GP94" s="1">
        <f t="shared" si="31"/>
        <v>0</v>
      </c>
      <c r="GR94" s="1">
        <v>10000</v>
      </c>
      <c r="GX94" s="1">
        <f t="shared" si="32"/>
        <v>10</v>
      </c>
      <c r="GZ94" s="1">
        <v>1</v>
      </c>
      <c r="HF94" s="1">
        <f t="shared" si="33"/>
        <v>1</v>
      </c>
      <c r="HH94" s="1">
        <v>12</v>
      </c>
      <c r="HN94" s="1">
        <f t="shared" si="34"/>
        <v>12</v>
      </c>
      <c r="HP94" s="1">
        <v>0</v>
      </c>
      <c r="HV94" s="1">
        <f t="shared" si="35"/>
        <v>0</v>
      </c>
      <c r="IK94" s="1">
        <v>32</v>
      </c>
      <c r="IL94" s="1">
        <v>40</v>
      </c>
      <c r="IM94" s="1">
        <v>8</v>
      </c>
      <c r="IN94" s="1">
        <v>40</v>
      </c>
      <c r="IO94" s="1">
        <v>0</v>
      </c>
    </row>
    <row r="95" spans="1:249" x14ac:dyDescent="0.25">
      <c r="A95" s="1">
        <v>94</v>
      </c>
      <c r="B95" s="1" t="s">
        <v>237</v>
      </c>
      <c r="C95" s="1" t="s">
        <v>194</v>
      </c>
      <c r="D95" s="1" t="s">
        <v>286</v>
      </c>
      <c r="E95" s="1" t="s">
        <v>288</v>
      </c>
      <c r="F95" s="1">
        <v>1</v>
      </c>
      <c r="G95" s="1">
        <v>0</v>
      </c>
      <c r="H95" s="1">
        <v>0</v>
      </c>
      <c r="I95" s="1">
        <v>45</v>
      </c>
      <c r="J95" s="1">
        <v>1</v>
      </c>
      <c r="K95" s="1">
        <v>1</v>
      </c>
      <c r="M95" s="1">
        <v>0</v>
      </c>
      <c r="N95" s="1">
        <v>0</v>
      </c>
      <c r="O95" s="1">
        <v>3</v>
      </c>
      <c r="P95" s="1">
        <v>45</v>
      </c>
      <c r="Q95" s="1">
        <v>1500</v>
      </c>
      <c r="R95" s="1">
        <v>0</v>
      </c>
      <c r="T95" s="1">
        <v>0</v>
      </c>
      <c r="U95" s="1">
        <v>0</v>
      </c>
      <c r="V95" s="1">
        <v>1</v>
      </c>
      <c r="W95" s="1" t="s">
        <v>240</v>
      </c>
      <c r="X95" s="1">
        <v>3</v>
      </c>
      <c r="Y95" s="1">
        <f t="shared" si="18"/>
        <v>1</v>
      </c>
      <c r="Z95" s="1">
        <f t="shared" si="19"/>
        <v>0</v>
      </c>
      <c r="AA95" s="1">
        <v>7</v>
      </c>
      <c r="AC95" s="1">
        <v>0</v>
      </c>
      <c r="AD95" s="1">
        <v>0</v>
      </c>
      <c r="AE95" s="1">
        <v>0</v>
      </c>
      <c r="AF95" s="1">
        <v>1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1">
        <v>8</v>
      </c>
      <c r="AO95" s="1">
        <v>1</v>
      </c>
      <c r="AP95" s="1">
        <v>1</v>
      </c>
      <c r="AQ95" s="1">
        <v>1</v>
      </c>
      <c r="AS95" s="1">
        <v>1</v>
      </c>
      <c r="AT95" s="1">
        <v>0</v>
      </c>
      <c r="AU95" s="1">
        <v>1</v>
      </c>
      <c r="AV95" s="1">
        <v>0</v>
      </c>
      <c r="AW95" s="1">
        <v>1</v>
      </c>
      <c r="AX95" s="1">
        <v>0</v>
      </c>
      <c r="AY95" s="1">
        <v>1</v>
      </c>
      <c r="AZ95" s="1">
        <v>0</v>
      </c>
      <c r="BA95" s="1">
        <v>1</v>
      </c>
      <c r="BB95" s="1">
        <v>0</v>
      </c>
      <c r="BC95" s="1">
        <v>0</v>
      </c>
      <c r="BD95" s="1">
        <v>1</v>
      </c>
      <c r="BE95" s="1">
        <v>2</v>
      </c>
      <c r="BG95" s="1" t="s">
        <v>224</v>
      </c>
      <c r="BH95" s="1" t="s">
        <v>289</v>
      </c>
      <c r="BK95" s="1" t="s">
        <v>282</v>
      </c>
      <c r="BO95" s="1" t="s">
        <v>233</v>
      </c>
      <c r="BR95" s="1">
        <v>1</v>
      </c>
      <c r="BS95" s="1">
        <v>0</v>
      </c>
      <c r="BT95" s="1">
        <v>0</v>
      </c>
      <c r="BU95" s="1">
        <v>1</v>
      </c>
      <c r="BV95" s="1">
        <v>1</v>
      </c>
      <c r="BW95" s="1">
        <v>1</v>
      </c>
      <c r="BX95" s="1">
        <v>0</v>
      </c>
      <c r="BZ95" s="1">
        <v>1</v>
      </c>
      <c r="CF95" s="1">
        <f t="shared" si="20"/>
        <v>0</v>
      </c>
      <c r="CH95" s="1">
        <v>1</v>
      </c>
      <c r="CO95" s="1">
        <v>1300</v>
      </c>
      <c r="CV95" s="1">
        <v>1</v>
      </c>
      <c r="DB95" s="7">
        <f t="shared" si="21"/>
        <v>1.3</v>
      </c>
      <c r="DC95" s="5">
        <f t="shared" si="22"/>
        <v>3</v>
      </c>
      <c r="DE95" s="1">
        <v>3333</v>
      </c>
      <c r="DL95" s="1">
        <v>5</v>
      </c>
      <c r="DR95" s="1">
        <f t="shared" si="23"/>
        <v>5</v>
      </c>
      <c r="DT95" s="1">
        <v>1</v>
      </c>
      <c r="DZ95" s="1">
        <f t="shared" si="24"/>
        <v>1</v>
      </c>
      <c r="EC95" s="1">
        <v>1</v>
      </c>
      <c r="EF95" s="1">
        <f t="shared" si="25"/>
        <v>1</v>
      </c>
      <c r="EH95" s="1">
        <v>1</v>
      </c>
      <c r="EN95" s="1">
        <f t="shared" si="26"/>
        <v>1</v>
      </c>
      <c r="EP95" s="1">
        <v>0</v>
      </c>
      <c r="EV95" s="1">
        <f t="shared" si="27"/>
        <v>0</v>
      </c>
      <c r="EX95" s="1">
        <v>0</v>
      </c>
      <c r="FE95" s="1">
        <v>1</v>
      </c>
      <c r="FK95" s="1">
        <f t="shared" si="28"/>
        <v>1</v>
      </c>
      <c r="FM95" s="1">
        <v>0</v>
      </c>
      <c r="FS95" s="1">
        <f t="shared" si="29"/>
        <v>0</v>
      </c>
      <c r="FU95" s="1">
        <v>1</v>
      </c>
      <c r="GA95" s="1">
        <f t="shared" si="30"/>
        <v>1</v>
      </c>
      <c r="GC95" s="1" t="s">
        <v>287</v>
      </c>
      <c r="GJ95" s="1">
        <v>0</v>
      </c>
      <c r="GP95" s="1">
        <f t="shared" si="31"/>
        <v>0</v>
      </c>
      <c r="GR95" s="1">
        <v>1000</v>
      </c>
      <c r="GX95" s="1">
        <f t="shared" si="32"/>
        <v>1</v>
      </c>
      <c r="GZ95" s="1">
        <v>1</v>
      </c>
      <c r="HF95" s="1">
        <f t="shared" si="33"/>
        <v>1</v>
      </c>
      <c r="HH95" s="1">
        <v>11.5</v>
      </c>
      <c r="HN95" s="1">
        <f t="shared" si="34"/>
        <v>11.5</v>
      </c>
      <c r="HP95" s="1">
        <v>0</v>
      </c>
      <c r="HV95" s="1">
        <f t="shared" si="35"/>
        <v>0</v>
      </c>
      <c r="IK95" s="1">
        <v>0</v>
      </c>
      <c r="IL95" s="1">
        <v>40</v>
      </c>
      <c r="IM95" s="1">
        <v>8</v>
      </c>
      <c r="IN95" s="1">
        <v>40</v>
      </c>
      <c r="IO95" s="1">
        <v>0</v>
      </c>
    </row>
    <row r="96" spans="1:249" x14ac:dyDescent="0.25">
      <c r="A96" s="1">
        <v>95</v>
      </c>
      <c r="B96" s="1" t="s">
        <v>237</v>
      </c>
      <c r="C96" s="1" t="s">
        <v>194</v>
      </c>
      <c r="D96" s="1" t="s">
        <v>286</v>
      </c>
      <c r="E96" s="1" t="s">
        <v>288</v>
      </c>
      <c r="F96" s="1">
        <v>1</v>
      </c>
      <c r="G96" s="1">
        <v>0</v>
      </c>
      <c r="H96" s="1">
        <v>0</v>
      </c>
      <c r="I96" s="1">
        <v>37</v>
      </c>
      <c r="J96" s="1">
        <v>0</v>
      </c>
      <c r="K96" s="1">
        <v>0</v>
      </c>
      <c r="L96" s="1">
        <v>1</v>
      </c>
      <c r="M96" s="1">
        <v>0</v>
      </c>
      <c r="N96" s="1">
        <v>1</v>
      </c>
      <c r="O96" s="1">
        <v>2</v>
      </c>
      <c r="P96" s="1">
        <v>37</v>
      </c>
      <c r="Q96" s="1">
        <v>800</v>
      </c>
      <c r="R96" s="1">
        <v>0</v>
      </c>
      <c r="T96" s="1">
        <v>0</v>
      </c>
      <c r="U96" s="1">
        <v>0</v>
      </c>
      <c r="V96" s="1">
        <v>1</v>
      </c>
      <c r="W96" s="1" t="s">
        <v>240</v>
      </c>
      <c r="X96" s="1">
        <v>3</v>
      </c>
      <c r="Y96" s="1">
        <f t="shared" si="18"/>
        <v>1</v>
      </c>
      <c r="Z96" s="1">
        <f t="shared" si="19"/>
        <v>0</v>
      </c>
      <c r="AA96" s="1">
        <v>7</v>
      </c>
      <c r="AC96" s="1">
        <v>0</v>
      </c>
      <c r="AD96" s="1">
        <v>0</v>
      </c>
      <c r="AE96" s="1">
        <v>0</v>
      </c>
      <c r="AF96" s="1">
        <v>1</v>
      </c>
      <c r="AG96" s="1">
        <v>1</v>
      </c>
      <c r="AH96" s="1">
        <v>0</v>
      </c>
      <c r="AI96" s="1">
        <v>0</v>
      </c>
      <c r="AJ96" s="1">
        <v>0</v>
      </c>
      <c r="AK96" s="1">
        <v>1</v>
      </c>
      <c r="AL96" s="1">
        <v>1</v>
      </c>
      <c r="AM96" s="1">
        <v>7</v>
      </c>
      <c r="AO96" s="1">
        <v>1</v>
      </c>
      <c r="AP96" s="1">
        <v>1</v>
      </c>
      <c r="AQ96" s="1">
        <v>1</v>
      </c>
      <c r="AS96" s="1">
        <v>1</v>
      </c>
      <c r="AT96" s="1">
        <v>1</v>
      </c>
      <c r="AU96" s="1">
        <v>1</v>
      </c>
      <c r="AV96" s="1">
        <v>0</v>
      </c>
      <c r="AW96" s="1">
        <v>1</v>
      </c>
      <c r="AX96" s="1">
        <v>0</v>
      </c>
      <c r="AY96" s="1">
        <v>1</v>
      </c>
      <c r="AZ96" s="1">
        <v>0.5</v>
      </c>
      <c r="BA96" s="1">
        <v>1</v>
      </c>
      <c r="BB96" s="1">
        <v>0</v>
      </c>
      <c r="BC96" s="1">
        <v>0.25</v>
      </c>
      <c r="BD96" s="1">
        <v>0</v>
      </c>
      <c r="BE96" s="1">
        <v>2</v>
      </c>
      <c r="BG96" s="1" t="s">
        <v>224</v>
      </c>
      <c r="BH96" s="1" t="s">
        <v>210</v>
      </c>
      <c r="BI96" s="1" t="s">
        <v>260</v>
      </c>
      <c r="BK96" s="1" t="s">
        <v>282</v>
      </c>
      <c r="BO96" s="1" t="s">
        <v>233</v>
      </c>
      <c r="BR96" s="1">
        <v>1</v>
      </c>
      <c r="BS96" s="1">
        <v>0</v>
      </c>
      <c r="BT96" s="1">
        <v>0</v>
      </c>
      <c r="BU96" s="1">
        <v>1</v>
      </c>
      <c r="BV96" s="1">
        <v>1</v>
      </c>
      <c r="BW96" s="1">
        <v>1</v>
      </c>
      <c r="BX96" s="1">
        <v>0</v>
      </c>
      <c r="BZ96" s="1">
        <v>1</v>
      </c>
      <c r="CF96" s="1">
        <f t="shared" si="20"/>
        <v>0</v>
      </c>
      <c r="CH96" s="1">
        <v>1</v>
      </c>
      <c r="CO96" s="1">
        <v>1200</v>
      </c>
      <c r="CV96" s="1">
        <v>1</v>
      </c>
      <c r="DB96" s="7">
        <f t="shared" si="21"/>
        <v>1.2</v>
      </c>
      <c r="DC96" s="5">
        <f t="shared" si="22"/>
        <v>3</v>
      </c>
      <c r="DE96" s="1">
        <v>3333</v>
      </c>
      <c r="DL96" s="1">
        <v>4</v>
      </c>
      <c r="DR96" s="1">
        <f t="shared" si="23"/>
        <v>4</v>
      </c>
      <c r="DZ96" s="1">
        <f t="shared" si="24"/>
        <v>0</v>
      </c>
      <c r="EF96" s="1">
        <f t="shared" si="25"/>
        <v>0</v>
      </c>
      <c r="EH96" s="1">
        <v>1</v>
      </c>
      <c r="EN96" s="1">
        <f t="shared" si="26"/>
        <v>1</v>
      </c>
      <c r="EP96" s="1">
        <v>0</v>
      </c>
      <c r="EV96" s="1">
        <f t="shared" si="27"/>
        <v>0</v>
      </c>
      <c r="EX96" s="1">
        <v>0</v>
      </c>
      <c r="FE96" s="1">
        <v>1</v>
      </c>
      <c r="FK96" s="1">
        <f t="shared" si="28"/>
        <v>1</v>
      </c>
      <c r="FM96" s="1">
        <v>0</v>
      </c>
      <c r="FS96" s="1">
        <f t="shared" si="29"/>
        <v>0</v>
      </c>
      <c r="FU96" s="1">
        <v>1</v>
      </c>
      <c r="GA96" s="1">
        <f t="shared" si="30"/>
        <v>1</v>
      </c>
      <c r="GC96" s="1" t="s">
        <v>287</v>
      </c>
      <c r="GJ96" s="1">
        <v>0</v>
      </c>
      <c r="GP96" s="1">
        <f t="shared" si="31"/>
        <v>0</v>
      </c>
      <c r="GR96" s="1">
        <v>5000</v>
      </c>
      <c r="GX96" s="1">
        <f t="shared" si="32"/>
        <v>5</v>
      </c>
      <c r="GZ96" s="1">
        <v>1</v>
      </c>
      <c r="HF96" s="1">
        <f t="shared" si="33"/>
        <v>1</v>
      </c>
      <c r="HH96" s="1">
        <v>12.5</v>
      </c>
      <c r="HN96" s="1">
        <f t="shared" si="34"/>
        <v>12.5</v>
      </c>
      <c r="HP96" s="1">
        <v>0</v>
      </c>
      <c r="HV96" s="1">
        <f t="shared" si="35"/>
        <v>0</v>
      </c>
      <c r="IK96" s="1">
        <v>0</v>
      </c>
      <c r="IL96" s="1">
        <v>32</v>
      </c>
      <c r="IM96" s="1">
        <v>8</v>
      </c>
      <c r="IN96" s="1">
        <v>40</v>
      </c>
      <c r="IO96" s="1">
        <v>0</v>
      </c>
    </row>
    <row r="97" spans="1:249" x14ac:dyDescent="0.25">
      <c r="A97" s="1">
        <v>96</v>
      </c>
      <c r="B97" s="1" t="s">
        <v>237</v>
      </c>
      <c r="C97" s="1" t="s">
        <v>194</v>
      </c>
      <c r="D97" s="1" t="s">
        <v>286</v>
      </c>
      <c r="E97" s="1" t="s">
        <v>288</v>
      </c>
      <c r="F97" s="1">
        <v>1</v>
      </c>
      <c r="G97" s="1">
        <v>0</v>
      </c>
      <c r="H97" s="1">
        <v>0</v>
      </c>
      <c r="I97" s="1">
        <v>53</v>
      </c>
      <c r="J97" s="1">
        <v>1</v>
      </c>
      <c r="K97" s="1">
        <v>1</v>
      </c>
      <c r="M97" s="1">
        <v>1</v>
      </c>
      <c r="N97" s="1">
        <v>1</v>
      </c>
      <c r="O97" s="1">
        <v>4</v>
      </c>
      <c r="P97" s="1">
        <v>12</v>
      </c>
      <c r="Q97" s="1">
        <v>950</v>
      </c>
      <c r="R97" s="1">
        <v>0</v>
      </c>
      <c r="T97" s="1">
        <v>0</v>
      </c>
      <c r="U97" s="1">
        <v>0</v>
      </c>
      <c r="V97" s="1">
        <v>1</v>
      </c>
      <c r="W97" s="1" t="s">
        <v>240</v>
      </c>
      <c r="X97" s="1">
        <v>3</v>
      </c>
      <c r="Y97" s="1">
        <f t="shared" si="18"/>
        <v>1</v>
      </c>
      <c r="Z97" s="1">
        <f t="shared" si="19"/>
        <v>0</v>
      </c>
      <c r="AA97" s="1">
        <v>6</v>
      </c>
      <c r="AC97" s="1">
        <v>0</v>
      </c>
      <c r="AD97" s="1">
        <v>0</v>
      </c>
      <c r="AE97" s="1">
        <v>0</v>
      </c>
      <c r="AF97" s="1">
        <v>1</v>
      </c>
      <c r="AG97" s="1">
        <v>1</v>
      </c>
      <c r="AH97" s="1">
        <v>0</v>
      </c>
      <c r="AI97" s="1">
        <v>0</v>
      </c>
      <c r="AJ97" s="1">
        <v>0</v>
      </c>
      <c r="AK97" s="1">
        <v>1</v>
      </c>
      <c r="AL97" s="1">
        <v>1</v>
      </c>
      <c r="AM97" s="1">
        <v>8</v>
      </c>
      <c r="AO97" s="1">
        <v>1</v>
      </c>
      <c r="AP97" s="1">
        <v>1</v>
      </c>
      <c r="AQ97" s="1">
        <v>1</v>
      </c>
      <c r="AS97" s="1">
        <v>1</v>
      </c>
      <c r="AT97" s="1">
        <v>1</v>
      </c>
      <c r="AU97" s="1">
        <v>1</v>
      </c>
      <c r="AV97" s="1">
        <v>0</v>
      </c>
      <c r="AW97" s="1">
        <v>1</v>
      </c>
      <c r="AX97" s="1">
        <v>0</v>
      </c>
      <c r="AY97" s="1">
        <v>0</v>
      </c>
      <c r="AZ97" s="1">
        <v>0.25</v>
      </c>
      <c r="BA97" s="1">
        <v>1</v>
      </c>
      <c r="BB97" s="1">
        <v>0</v>
      </c>
      <c r="BC97" s="1">
        <v>1</v>
      </c>
      <c r="BD97" s="1">
        <v>0</v>
      </c>
      <c r="BE97" s="1">
        <v>3</v>
      </c>
      <c r="BG97" s="1" t="s">
        <v>224</v>
      </c>
      <c r="BH97" s="1" t="s">
        <v>260</v>
      </c>
      <c r="BK97" s="1" t="s">
        <v>282</v>
      </c>
      <c r="BO97" s="1" t="s">
        <v>233</v>
      </c>
      <c r="BR97" s="1">
        <v>1</v>
      </c>
      <c r="BS97" s="1">
        <v>0</v>
      </c>
      <c r="BT97" s="1">
        <v>0</v>
      </c>
      <c r="BU97" s="1">
        <v>1</v>
      </c>
      <c r="BV97" s="1">
        <v>1</v>
      </c>
      <c r="BW97" s="1">
        <v>1</v>
      </c>
      <c r="BX97" s="1">
        <v>0</v>
      </c>
      <c r="BZ97" s="1">
        <v>1</v>
      </c>
      <c r="CF97" s="1">
        <f t="shared" si="20"/>
        <v>0</v>
      </c>
      <c r="CH97" s="1">
        <v>2</v>
      </c>
      <c r="CO97" s="1">
        <v>1800</v>
      </c>
      <c r="CV97" s="1">
        <v>2</v>
      </c>
      <c r="DB97" s="7">
        <f t="shared" si="21"/>
        <v>0.9</v>
      </c>
      <c r="DC97" s="5">
        <f t="shared" si="22"/>
        <v>3</v>
      </c>
      <c r="DE97" s="1">
        <v>3000</v>
      </c>
      <c r="DL97" s="1">
        <v>6</v>
      </c>
      <c r="DR97" s="1">
        <f t="shared" si="23"/>
        <v>6</v>
      </c>
      <c r="DT97" s="1">
        <v>1</v>
      </c>
      <c r="DZ97" s="1">
        <f t="shared" si="24"/>
        <v>1</v>
      </c>
      <c r="EC97" s="1">
        <v>1</v>
      </c>
      <c r="EF97" s="1">
        <f t="shared" si="25"/>
        <v>1</v>
      </c>
      <c r="EH97" s="1">
        <v>1</v>
      </c>
      <c r="EN97" s="1">
        <f t="shared" si="26"/>
        <v>1</v>
      </c>
      <c r="EP97" s="1">
        <v>0</v>
      </c>
      <c r="EV97" s="1">
        <f t="shared" si="27"/>
        <v>0</v>
      </c>
      <c r="EX97" s="1">
        <v>0</v>
      </c>
      <c r="FE97" s="1">
        <v>1</v>
      </c>
      <c r="FK97" s="1">
        <f t="shared" si="28"/>
        <v>1</v>
      </c>
      <c r="FM97" s="1">
        <v>0</v>
      </c>
      <c r="FS97" s="1">
        <f t="shared" si="29"/>
        <v>0</v>
      </c>
      <c r="FU97" s="1">
        <v>1</v>
      </c>
      <c r="GA97" s="1">
        <f t="shared" si="30"/>
        <v>1</v>
      </c>
      <c r="GC97" s="1" t="s">
        <v>287</v>
      </c>
      <c r="GJ97" s="1">
        <v>0</v>
      </c>
      <c r="GP97" s="1">
        <f t="shared" si="31"/>
        <v>0</v>
      </c>
      <c r="GR97" s="1">
        <v>10000</v>
      </c>
      <c r="GX97" s="1">
        <f t="shared" si="32"/>
        <v>10</v>
      </c>
      <c r="GZ97" s="1">
        <v>1</v>
      </c>
      <c r="HF97" s="1">
        <f t="shared" si="33"/>
        <v>1</v>
      </c>
      <c r="HH97" s="1">
        <v>11.5</v>
      </c>
      <c r="HN97" s="1">
        <f t="shared" si="34"/>
        <v>11.5</v>
      </c>
      <c r="HP97" s="1">
        <v>0</v>
      </c>
      <c r="HV97" s="1">
        <f t="shared" si="35"/>
        <v>0</v>
      </c>
      <c r="IK97" s="1">
        <v>0</v>
      </c>
      <c r="IL97" s="1">
        <v>80</v>
      </c>
      <c r="IM97" s="1">
        <v>16</v>
      </c>
      <c r="IN97" s="1">
        <v>80</v>
      </c>
      <c r="IO97" s="1">
        <v>0</v>
      </c>
    </row>
    <row r="98" spans="1:249" x14ac:dyDescent="0.25">
      <c r="A98" s="1">
        <v>97</v>
      </c>
      <c r="B98" s="1" t="s">
        <v>237</v>
      </c>
      <c r="C98" s="1" t="s">
        <v>194</v>
      </c>
      <c r="D98" s="1" t="s">
        <v>286</v>
      </c>
      <c r="E98" s="1" t="s">
        <v>286</v>
      </c>
      <c r="F98" s="1">
        <v>1</v>
      </c>
      <c r="G98" s="1">
        <v>0</v>
      </c>
      <c r="H98" s="1">
        <v>0</v>
      </c>
      <c r="I98" s="1">
        <v>65</v>
      </c>
      <c r="J98" s="1">
        <v>0</v>
      </c>
      <c r="K98" s="1">
        <v>1</v>
      </c>
      <c r="M98" s="1">
        <v>0</v>
      </c>
      <c r="N98" s="1">
        <v>1</v>
      </c>
      <c r="O98" s="1">
        <v>2</v>
      </c>
      <c r="P98" s="1">
        <v>65</v>
      </c>
      <c r="Q98" s="1">
        <v>800</v>
      </c>
      <c r="R98" s="1">
        <v>0</v>
      </c>
      <c r="T98" s="1">
        <v>0</v>
      </c>
      <c r="U98" s="1">
        <v>0</v>
      </c>
      <c r="V98" s="1">
        <v>1</v>
      </c>
      <c r="W98" s="1" t="s">
        <v>240</v>
      </c>
      <c r="X98" s="1">
        <v>0</v>
      </c>
      <c r="Y98" s="1">
        <f t="shared" si="18"/>
        <v>0</v>
      </c>
      <c r="Z98" s="1">
        <f t="shared" si="19"/>
        <v>0</v>
      </c>
      <c r="AA98" s="1">
        <v>0</v>
      </c>
      <c r="AC98" s="1">
        <v>1</v>
      </c>
      <c r="AD98" s="1">
        <v>1</v>
      </c>
      <c r="AE98" s="1">
        <v>1</v>
      </c>
      <c r="AF98" s="1">
        <v>1</v>
      </c>
      <c r="AG98" s="1">
        <v>1</v>
      </c>
      <c r="AH98" s="1">
        <v>0</v>
      </c>
      <c r="AI98" s="1">
        <v>1</v>
      </c>
      <c r="AJ98" s="1">
        <v>0</v>
      </c>
      <c r="AK98" s="1">
        <v>0</v>
      </c>
      <c r="AL98" s="1">
        <v>1</v>
      </c>
      <c r="AM98" s="1">
        <v>6</v>
      </c>
      <c r="AO98" s="1">
        <v>1</v>
      </c>
      <c r="AP98" s="1">
        <v>1</v>
      </c>
      <c r="AQ98" s="1">
        <v>0</v>
      </c>
      <c r="AS98" s="1">
        <v>1</v>
      </c>
      <c r="AT98" s="1">
        <v>1</v>
      </c>
      <c r="AU98" s="1">
        <v>1</v>
      </c>
      <c r="AV98" s="1">
        <v>0</v>
      </c>
      <c r="AW98" s="1">
        <v>0</v>
      </c>
      <c r="AX98" s="1">
        <v>0</v>
      </c>
      <c r="AY98" s="1">
        <v>1.5</v>
      </c>
      <c r="AZ98" s="1">
        <v>0.25</v>
      </c>
      <c r="BA98" s="1">
        <v>1</v>
      </c>
      <c r="BB98" s="1">
        <v>0</v>
      </c>
      <c r="BC98" s="1">
        <v>1</v>
      </c>
      <c r="BD98" s="1">
        <v>0</v>
      </c>
      <c r="BE98" s="1">
        <v>1</v>
      </c>
      <c r="BG98" s="1" t="s">
        <v>224</v>
      </c>
      <c r="BH98" s="1" t="s">
        <v>225</v>
      </c>
      <c r="BI98" s="1" t="s">
        <v>260</v>
      </c>
      <c r="BK98" s="1" t="s">
        <v>282</v>
      </c>
      <c r="BR98" s="1">
        <v>1</v>
      </c>
      <c r="BS98" s="1">
        <v>0</v>
      </c>
      <c r="BT98" s="1">
        <v>0</v>
      </c>
      <c r="BU98" s="1">
        <v>1</v>
      </c>
      <c r="BV98" s="1">
        <v>1</v>
      </c>
      <c r="BW98" s="1">
        <v>1</v>
      </c>
      <c r="BX98" s="1">
        <v>0</v>
      </c>
      <c r="BZ98" s="1">
        <v>1</v>
      </c>
      <c r="CF98" s="1">
        <f t="shared" si="20"/>
        <v>0</v>
      </c>
      <c r="CH98" s="1">
        <v>1.5</v>
      </c>
      <c r="CO98" s="1">
        <v>1000</v>
      </c>
      <c r="CV98" s="1">
        <v>1.5</v>
      </c>
      <c r="DB98" s="7">
        <f t="shared" si="21"/>
        <v>0.66666666666666663</v>
      </c>
      <c r="DC98" s="5">
        <f t="shared" si="22"/>
        <v>2</v>
      </c>
      <c r="DE98" s="1">
        <v>3000</v>
      </c>
      <c r="DL98" s="1">
        <v>5</v>
      </c>
      <c r="DR98" s="1">
        <f t="shared" si="23"/>
        <v>5</v>
      </c>
      <c r="DT98" s="1">
        <v>1</v>
      </c>
      <c r="DZ98" s="1">
        <f t="shared" si="24"/>
        <v>1</v>
      </c>
      <c r="EC98" s="1">
        <v>1</v>
      </c>
      <c r="EF98" s="1">
        <f t="shared" si="25"/>
        <v>1</v>
      </c>
      <c r="EH98" s="1">
        <v>0</v>
      </c>
      <c r="EN98" s="1">
        <f t="shared" si="26"/>
        <v>0</v>
      </c>
      <c r="EP98" s="1">
        <v>0</v>
      </c>
      <c r="EV98" s="1">
        <f t="shared" si="27"/>
        <v>0</v>
      </c>
      <c r="EX98" s="1">
        <v>0</v>
      </c>
      <c r="FE98" s="1">
        <v>1</v>
      </c>
      <c r="FK98" s="1">
        <f t="shared" si="28"/>
        <v>1</v>
      </c>
      <c r="FM98" s="1">
        <v>0</v>
      </c>
      <c r="FS98" s="1">
        <f t="shared" si="29"/>
        <v>0</v>
      </c>
      <c r="FU98" s="1">
        <v>1</v>
      </c>
      <c r="GA98" s="1">
        <f t="shared" si="30"/>
        <v>1</v>
      </c>
      <c r="GC98" s="1" t="s">
        <v>287</v>
      </c>
      <c r="GJ98" s="1">
        <v>0</v>
      </c>
      <c r="GP98" s="1">
        <f t="shared" si="31"/>
        <v>0</v>
      </c>
      <c r="GR98" s="1">
        <v>5000</v>
      </c>
      <c r="GX98" s="1">
        <f t="shared" si="32"/>
        <v>5</v>
      </c>
      <c r="GZ98" s="1">
        <v>1</v>
      </c>
      <c r="HF98" s="1">
        <f t="shared" si="33"/>
        <v>1</v>
      </c>
      <c r="HH98" s="1">
        <v>10.5</v>
      </c>
      <c r="HN98" s="1">
        <f t="shared" si="34"/>
        <v>10.5</v>
      </c>
      <c r="HP98" s="1">
        <v>0</v>
      </c>
      <c r="HV98" s="1">
        <f t="shared" si="35"/>
        <v>0</v>
      </c>
      <c r="IK98" s="1">
        <v>0</v>
      </c>
      <c r="IL98" s="1">
        <v>60</v>
      </c>
      <c r="IM98" s="1">
        <v>12</v>
      </c>
      <c r="IN98" s="1">
        <v>60</v>
      </c>
      <c r="IO98" s="1">
        <v>0</v>
      </c>
    </row>
    <row r="99" spans="1:249" x14ac:dyDescent="0.25">
      <c r="A99" s="1">
        <v>98</v>
      </c>
      <c r="B99" s="1" t="s">
        <v>237</v>
      </c>
      <c r="C99" s="1" t="s">
        <v>194</v>
      </c>
      <c r="D99" s="1" t="s">
        <v>290</v>
      </c>
      <c r="E99" s="1" t="s">
        <v>290</v>
      </c>
      <c r="F99" s="1">
        <v>0</v>
      </c>
      <c r="G99" s="1">
        <v>1</v>
      </c>
      <c r="H99" s="1">
        <v>0</v>
      </c>
      <c r="I99" s="1">
        <v>55</v>
      </c>
      <c r="J99" s="1">
        <v>1</v>
      </c>
      <c r="K99" s="1">
        <v>1</v>
      </c>
      <c r="M99" s="1">
        <v>0</v>
      </c>
      <c r="N99" s="1">
        <v>0</v>
      </c>
      <c r="O99" s="1">
        <v>4</v>
      </c>
      <c r="P99" s="1">
        <v>30</v>
      </c>
      <c r="Q99" s="1">
        <v>500</v>
      </c>
      <c r="R99" s="1">
        <v>0</v>
      </c>
      <c r="T99" s="1">
        <v>0</v>
      </c>
      <c r="U99" s="1">
        <v>0</v>
      </c>
      <c r="V99" s="1">
        <v>1</v>
      </c>
      <c r="W99" s="1" t="s">
        <v>240</v>
      </c>
      <c r="X99" s="1">
        <v>2</v>
      </c>
      <c r="Y99" s="1">
        <f t="shared" si="18"/>
        <v>1</v>
      </c>
      <c r="Z99" s="1">
        <f t="shared" si="19"/>
        <v>0</v>
      </c>
      <c r="AA99" s="1">
        <v>4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0</v>
      </c>
      <c r="AK99" s="1">
        <v>0</v>
      </c>
      <c r="AL99" s="1">
        <v>1</v>
      </c>
      <c r="AM99" s="1">
        <v>7</v>
      </c>
      <c r="AO99" s="1">
        <v>1</v>
      </c>
      <c r="AP99" s="1">
        <v>0</v>
      </c>
      <c r="AQ99" s="1">
        <v>0</v>
      </c>
      <c r="AS99" s="1">
        <v>1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1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2</v>
      </c>
      <c r="BG99" s="1" t="s">
        <v>224</v>
      </c>
      <c r="BH99" s="1" t="s">
        <v>210</v>
      </c>
      <c r="BR99" s="1">
        <v>1</v>
      </c>
      <c r="BS99" s="1">
        <v>0</v>
      </c>
      <c r="BT99" s="1">
        <v>1</v>
      </c>
      <c r="BU99" s="1">
        <v>1</v>
      </c>
      <c r="BV99" s="1">
        <v>0</v>
      </c>
      <c r="BW99" s="1">
        <v>1</v>
      </c>
      <c r="BX99" s="1">
        <v>0</v>
      </c>
      <c r="BZ99" s="1">
        <v>1</v>
      </c>
      <c r="CA99" s="1">
        <v>1</v>
      </c>
      <c r="CF99" s="1">
        <f t="shared" si="20"/>
        <v>1</v>
      </c>
      <c r="CH99" s="1">
        <v>1</v>
      </c>
      <c r="CI99" s="1">
        <v>1</v>
      </c>
      <c r="CO99" s="1">
        <v>800</v>
      </c>
      <c r="CV99" s="1">
        <v>1</v>
      </c>
      <c r="CW99" s="1">
        <v>1</v>
      </c>
      <c r="DB99" s="7">
        <f t="shared" si="21"/>
        <v>0.4</v>
      </c>
      <c r="DC99" s="5">
        <f t="shared" si="22"/>
        <v>1</v>
      </c>
      <c r="DE99" s="1">
        <v>3000</v>
      </c>
      <c r="DL99" s="1">
        <v>4</v>
      </c>
      <c r="DM99" s="1">
        <v>14</v>
      </c>
      <c r="DR99" s="1">
        <f t="shared" si="23"/>
        <v>14</v>
      </c>
      <c r="DU99" s="1">
        <v>1</v>
      </c>
      <c r="DZ99" s="1">
        <f t="shared" si="24"/>
        <v>1</v>
      </c>
      <c r="EC99" s="1">
        <v>1</v>
      </c>
      <c r="EF99" s="1">
        <f t="shared" si="25"/>
        <v>1</v>
      </c>
      <c r="EH99" s="1">
        <v>0</v>
      </c>
      <c r="EI99" s="1">
        <v>0</v>
      </c>
      <c r="EN99" s="1">
        <f t="shared" si="26"/>
        <v>0</v>
      </c>
      <c r="EP99" s="1">
        <v>0</v>
      </c>
      <c r="EQ99" s="1">
        <v>0</v>
      </c>
      <c r="EV99" s="1">
        <f t="shared" si="27"/>
        <v>0</v>
      </c>
      <c r="EX99" s="1">
        <v>0</v>
      </c>
      <c r="EY99" s="1">
        <v>0</v>
      </c>
      <c r="FE99" s="1">
        <v>1</v>
      </c>
      <c r="FK99" s="1">
        <f t="shared" si="28"/>
        <v>1</v>
      </c>
      <c r="FM99" s="1">
        <v>0</v>
      </c>
      <c r="FN99" s="1">
        <v>0</v>
      </c>
      <c r="FS99" s="1">
        <f t="shared" si="29"/>
        <v>0</v>
      </c>
      <c r="FU99" s="1">
        <v>1</v>
      </c>
      <c r="FV99" s="1">
        <v>0</v>
      </c>
      <c r="GA99" s="1">
        <f t="shared" si="30"/>
        <v>1</v>
      </c>
      <c r="GC99" s="1" t="s">
        <v>287</v>
      </c>
      <c r="GJ99" s="1">
        <v>0</v>
      </c>
      <c r="GK99" s="1">
        <v>0</v>
      </c>
      <c r="GP99" s="1">
        <f t="shared" si="31"/>
        <v>0</v>
      </c>
      <c r="GR99" s="1">
        <v>3000</v>
      </c>
      <c r="GS99" s="1">
        <v>2500</v>
      </c>
      <c r="GX99" s="1">
        <f t="shared" si="32"/>
        <v>5.5</v>
      </c>
      <c r="GZ99" s="1">
        <v>1</v>
      </c>
      <c r="HA99" s="1">
        <v>0</v>
      </c>
      <c r="HF99" s="1">
        <f t="shared" si="33"/>
        <v>1</v>
      </c>
      <c r="HH99" s="1">
        <v>9</v>
      </c>
      <c r="HN99" s="1">
        <f t="shared" si="34"/>
        <v>9</v>
      </c>
      <c r="HP99" s="1">
        <v>0</v>
      </c>
      <c r="HQ99" s="1">
        <v>0</v>
      </c>
      <c r="HV99" s="1">
        <f t="shared" si="35"/>
        <v>0</v>
      </c>
      <c r="IK99" s="1">
        <v>0</v>
      </c>
      <c r="IL99" s="1">
        <v>80</v>
      </c>
      <c r="IM99" s="1">
        <v>0</v>
      </c>
      <c r="IN99" s="1">
        <v>80</v>
      </c>
      <c r="IO99" s="1">
        <v>0</v>
      </c>
    </row>
    <row r="100" spans="1:249" x14ac:dyDescent="0.25">
      <c r="A100" s="1">
        <v>99</v>
      </c>
      <c r="B100" s="1" t="s">
        <v>237</v>
      </c>
      <c r="C100" s="1" t="s">
        <v>194</v>
      </c>
      <c r="D100" s="1" t="s">
        <v>286</v>
      </c>
      <c r="E100" s="1" t="s">
        <v>288</v>
      </c>
      <c r="F100" s="1">
        <v>1</v>
      </c>
      <c r="G100" s="1">
        <v>0</v>
      </c>
      <c r="H100" s="1">
        <v>0</v>
      </c>
      <c r="I100" s="1">
        <v>46</v>
      </c>
      <c r="J100" s="1">
        <v>1</v>
      </c>
      <c r="K100" s="1">
        <v>1</v>
      </c>
      <c r="M100" s="1">
        <v>1</v>
      </c>
      <c r="N100" s="1">
        <v>1</v>
      </c>
      <c r="O100" s="1">
        <v>4</v>
      </c>
      <c r="P100" s="1">
        <v>13</v>
      </c>
      <c r="Q100" s="1">
        <v>1000</v>
      </c>
      <c r="R100" s="1">
        <v>0</v>
      </c>
      <c r="T100" s="1">
        <v>0</v>
      </c>
      <c r="U100" s="1">
        <v>0</v>
      </c>
      <c r="V100" s="1">
        <v>1</v>
      </c>
      <c r="W100" s="1" t="s">
        <v>240</v>
      </c>
      <c r="X100" s="1">
        <v>3</v>
      </c>
      <c r="Y100" s="1">
        <f t="shared" si="18"/>
        <v>1</v>
      </c>
      <c r="Z100" s="1">
        <f t="shared" si="19"/>
        <v>0</v>
      </c>
      <c r="AA100" s="1">
        <v>6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</v>
      </c>
      <c r="AM100" s="1">
        <v>12</v>
      </c>
      <c r="AO100" s="1">
        <v>1</v>
      </c>
      <c r="AP100" s="1">
        <v>1</v>
      </c>
      <c r="AQ100" s="1">
        <v>1</v>
      </c>
      <c r="AS100" s="1">
        <v>1</v>
      </c>
      <c r="AT100" s="1">
        <v>1</v>
      </c>
      <c r="AU100" s="1">
        <v>1</v>
      </c>
      <c r="AV100" s="1">
        <v>0</v>
      </c>
      <c r="AW100" s="1">
        <v>1</v>
      </c>
      <c r="AX100" s="1">
        <v>0</v>
      </c>
      <c r="AY100" s="1">
        <v>2</v>
      </c>
      <c r="AZ100" s="1">
        <v>0.5</v>
      </c>
      <c r="BA100" s="1">
        <v>4</v>
      </c>
      <c r="BB100" s="1">
        <v>0</v>
      </c>
      <c r="BC100" s="1">
        <v>0.25</v>
      </c>
      <c r="BD100" s="1">
        <v>0</v>
      </c>
      <c r="BE100" s="1">
        <v>3.5</v>
      </c>
      <c r="BG100" s="1" t="s">
        <v>224</v>
      </c>
      <c r="BH100" s="1" t="s">
        <v>210</v>
      </c>
      <c r="BI100" s="1" t="s">
        <v>230</v>
      </c>
      <c r="BK100" s="1" t="s">
        <v>282</v>
      </c>
      <c r="BL100" s="1" t="s">
        <v>283</v>
      </c>
      <c r="BM100" s="1" t="s">
        <v>291</v>
      </c>
      <c r="BO100" s="1" t="s">
        <v>233</v>
      </c>
      <c r="BP100" s="1" t="s">
        <v>241</v>
      </c>
      <c r="BR100" s="1">
        <v>1</v>
      </c>
      <c r="BS100" s="1">
        <v>0</v>
      </c>
      <c r="BT100" s="1">
        <v>0</v>
      </c>
      <c r="BU100" s="1">
        <v>1</v>
      </c>
      <c r="BV100" s="1">
        <v>1</v>
      </c>
      <c r="BW100" s="1">
        <v>1</v>
      </c>
      <c r="BX100" s="1">
        <v>1</v>
      </c>
      <c r="BZ100" s="1">
        <v>1</v>
      </c>
      <c r="CA100" s="1">
        <v>1</v>
      </c>
      <c r="CF100" s="1">
        <f t="shared" si="20"/>
        <v>1</v>
      </c>
      <c r="CH100" s="1">
        <v>1</v>
      </c>
      <c r="CI100" s="1">
        <v>1</v>
      </c>
      <c r="CO100" s="1">
        <v>680</v>
      </c>
      <c r="CP100" s="1">
        <v>900</v>
      </c>
      <c r="CV100" s="1">
        <v>1</v>
      </c>
      <c r="CW100" s="1">
        <v>1</v>
      </c>
      <c r="DB100" s="7">
        <f t="shared" si="21"/>
        <v>0.79</v>
      </c>
      <c r="DC100" s="5">
        <f t="shared" si="22"/>
        <v>2</v>
      </c>
      <c r="DE100" s="1">
        <v>3333</v>
      </c>
      <c r="DF100" s="1">
        <v>3333</v>
      </c>
      <c r="DL100" s="1">
        <v>13</v>
      </c>
      <c r="DM100" s="1">
        <v>2</v>
      </c>
      <c r="DR100" s="1">
        <f t="shared" si="23"/>
        <v>13</v>
      </c>
      <c r="DT100" s="1">
        <v>1</v>
      </c>
      <c r="DU100" s="1">
        <v>1</v>
      </c>
      <c r="DZ100" s="1">
        <f t="shared" si="24"/>
        <v>1</v>
      </c>
      <c r="EC100" s="1">
        <v>1</v>
      </c>
      <c r="EF100" s="1">
        <f t="shared" si="25"/>
        <v>1</v>
      </c>
      <c r="EH100" s="1">
        <v>0</v>
      </c>
      <c r="EI100" s="1">
        <v>0</v>
      </c>
      <c r="EN100" s="1">
        <f t="shared" si="26"/>
        <v>0</v>
      </c>
      <c r="EP100" s="1">
        <v>0</v>
      </c>
      <c r="EQ100" s="1">
        <v>0</v>
      </c>
      <c r="EV100" s="1">
        <f t="shared" si="27"/>
        <v>0</v>
      </c>
      <c r="EX100" s="1">
        <v>0</v>
      </c>
      <c r="EY100" s="1">
        <v>0</v>
      </c>
      <c r="FE100" s="1">
        <v>1</v>
      </c>
      <c r="FF100" s="1">
        <v>1</v>
      </c>
      <c r="FK100" s="1">
        <f t="shared" si="28"/>
        <v>1</v>
      </c>
      <c r="FM100" s="1">
        <v>1</v>
      </c>
      <c r="FN100" s="1">
        <v>1</v>
      </c>
      <c r="FS100" s="1">
        <f t="shared" si="29"/>
        <v>1</v>
      </c>
      <c r="FU100" s="1">
        <v>1</v>
      </c>
      <c r="FV100" s="1">
        <v>1</v>
      </c>
      <c r="GA100" s="1">
        <f t="shared" si="30"/>
        <v>1</v>
      </c>
      <c r="GC100" s="1" t="s">
        <v>287</v>
      </c>
      <c r="GD100" s="1" t="s">
        <v>287</v>
      </c>
      <c r="GJ100" s="1">
        <v>0</v>
      </c>
      <c r="GK100" s="1">
        <v>0</v>
      </c>
      <c r="GP100" s="1">
        <f t="shared" si="31"/>
        <v>0</v>
      </c>
      <c r="GR100" s="1">
        <v>1000</v>
      </c>
      <c r="GS100" s="1">
        <v>1000</v>
      </c>
      <c r="GX100" s="1">
        <f t="shared" si="32"/>
        <v>2</v>
      </c>
      <c r="GZ100" s="1">
        <v>1</v>
      </c>
      <c r="HA100" s="1">
        <v>1</v>
      </c>
      <c r="HF100" s="1">
        <f t="shared" si="33"/>
        <v>1</v>
      </c>
      <c r="HH100" s="1">
        <v>11.5</v>
      </c>
      <c r="HI100" s="1">
        <v>11.5</v>
      </c>
      <c r="HN100" s="1">
        <f t="shared" si="34"/>
        <v>11.5</v>
      </c>
      <c r="HP100" s="1">
        <v>0</v>
      </c>
      <c r="HQ100" s="1">
        <v>0</v>
      </c>
      <c r="HV100" s="1">
        <f t="shared" si="35"/>
        <v>0</v>
      </c>
      <c r="HX100" s="1" t="s">
        <v>284</v>
      </c>
      <c r="HY100" s="1" t="s">
        <v>284</v>
      </c>
      <c r="IE100" s="1">
        <v>0</v>
      </c>
      <c r="IF100" s="1">
        <v>0</v>
      </c>
      <c r="IK100" s="1">
        <v>0</v>
      </c>
      <c r="IL100" s="1">
        <v>80</v>
      </c>
      <c r="IM100" s="1">
        <v>16</v>
      </c>
      <c r="IN100" s="1">
        <v>80</v>
      </c>
      <c r="IO100" s="1">
        <v>32</v>
      </c>
    </row>
    <row r="101" spans="1:249" x14ac:dyDescent="0.25">
      <c r="A101" s="1">
        <v>100</v>
      </c>
      <c r="B101" s="1" t="s">
        <v>237</v>
      </c>
      <c r="C101" s="1" t="s">
        <v>194</v>
      </c>
      <c r="D101" s="1" t="s">
        <v>286</v>
      </c>
      <c r="E101" s="1" t="s">
        <v>288</v>
      </c>
      <c r="F101" s="1">
        <v>1</v>
      </c>
      <c r="G101" s="1">
        <v>0</v>
      </c>
      <c r="H101" s="1">
        <v>0</v>
      </c>
      <c r="I101" s="1">
        <v>40</v>
      </c>
      <c r="J101" s="1">
        <v>1</v>
      </c>
      <c r="K101" s="1">
        <v>1</v>
      </c>
      <c r="M101" s="1">
        <v>1</v>
      </c>
      <c r="N101" s="1">
        <v>1</v>
      </c>
      <c r="O101" s="1">
        <v>2</v>
      </c>
      <c r="P101" s="1">
        <v>10</v>
      </c>
      <c r="Q101" s="1">
        <v>800</v>
      </c>
      <c r="R101" s="1">
        <v>0</v>
      </c>
      <c r="T101" s="1">
        <v>0</v>
      </c>
      <c r="U101" s="1">
        <v>0</v>
      </c>
      <c r="V101" s="1">
        <v>1</v>
      </c>
      <c r="W101" s="1" t="s">
        <v>240</v>
      </c>
      <c r="X101" s="1">
        <v>3</v>
      </c>
      <c r="Y101" s="1">
        <f t="shared" si="18"/>
        <v>1</v>
      </c>
      <c r="Z101" s="1">
        <f t="shared" si="19"/>
        <v>0</v>
      </c>
      <c r="AA101" s="1">
        <v>6</v>
      </c>
      <c r="AC101" s="1">
        <v>0</v>
      </c>
      <c r="AD101" s="1">
        <v>0</v>
      </c>
      <c r="AE101" s="1">
        <v>0</v>
      </c>
      <c r="AF101" s="1">
        <v>1</v>
      </c>
      <c r="AG101" s="1">
        <v>1</v>
      </c>
      <c r="AH101" s="1">
        <v>0</v>
      </c>
      <c r="AI101" s="1">
        <v>0</v>
      </c>
      <c r="AJ101" s="1">
        <v>0</v>
      </c>
      <c r="AK101" s="1">
        <v>1</v>
      </c>
      <c r="AL101" s="1">
        <v>1</v>
      </c>
      <c r="AM101" s="1">
        <v>10</v>
      </c>
      <c r="AO101" s="1">
        <v>1</v>
      </c>
      <c r="AP101" s="1">
        <v>1</v>
      </c>
      <c r="AQ101" s="1">
        <v>0</v>
      </c>
      <c r="AS101" s="1">
        <v>1</v>
      </c>
      <c r="AT101" s="1">
        <v>1</v>
      </c>
      <c r="AU101" s="1">
        <v>1</v>
      </c>
      <c r="AV101" s="1">
        <v>0</v>
      </c>
      <c r="AW101" s="1">
        <v>0</v>
      </c>
      <c r="AX101" s="1">
        <v>0</v>
      </c>
      <c r="AY101" s="1">
        <v>2</v>
      </c>
      <c r="AZ101" s="1">
        <v>0.5</v>
      </c>
      <c r="BA101" s="1">
        <v>3</v>
      </c>
      <c r="BB101" s="1">
        <v>0</v>
      </c>
      <c r="BC101" s="1">
        <v>0</v>
      </c>
      <c r="BD101" s="1">
        <v>0</v>
      </c>
      <c r="BE101" s="1">
        <v>4</v>
      </c>
      <c r="BG101" s="1" t="s">
        <v>224</v>
      </c>
      <c r="BH101" s="1" t="s">
        <v>260</v>
      </c>
      <c r="BK101" s="1" t="s">
        <v>282</v>
      </c>
      <c r="BL101" s="1" t="s">
        <v>283</v>
      </c>
      <c r="BR101" s="1">
        <v>1</v>
      </c>
      <c r="BS101" s="1">
        <v>0</v>
      </c>
      <c r="BT101" s="1">
        <v>0</v>
      </c>
      <c r="BU101" s="1">
        <v>1</v>
      </c>
      <c r="BV101" s="1">
        <v>1</v>
      </c>
      <c r="BW101" s="1">
        <v>1</v>
      </c>
      <c r="BX101" s="1">
        <v>0</v>
      </c>
      <c r="CA101" s="1">
        <v>1</v>
      </c>
      <c r="CF101" s="1">
        <f t="shared" si="20"/>
        <v>0</v>
      </c>
      <c r="CI101" s="1">
        <v>2</v>
      </c>
      <c r="CP101" s="1">
        <v>2200</v>
      </c>
      <c r="CW101" s="1">
        <v>1</v>
      </c>
      <c r="DB101" s="7">
        <f t="shared" si="21"/>
        <v>2.2000000000000002</v>
      </c>
      <c r="DC101" s="5">
        <f t="shared" si="22"/>
        <v>3</v>
      </c>
      <c r="DF101" s="1">
        <v>3333</v>
      </c>
      <c r="DL101" s="1">
        <v>0</v>
      </c>
      <c r="DM101" s="1">
        <v>7</v>
      </c>
      <c r="DR101" s="1">
        <f t="shared" si="23"/>
        <v>7</v>
      </c>
      <c r="DU101" s="1">
        <v>1</v>
      </c>
      <c r="DZ101" s="1">
        <f t="shared" si="24"/>
        <v>1</v>
      </c>
      <c r="EF101" s="1">
        <f t="shared" si="25"/>
        <v>0</v>
      </c>
      <c r="EI101" s="1">
        <v>0</v>
      </c>
      <c r="EN101" s="1">
        <f t="shared" si="26"/>
        <v>0</v>
      </c>
      <c r="EQ101" s="1">
        <v>0</v>
      </c>
      <c r="EV101" s="1">
        <f t="shared" si="27"/>
        <v>0</v>
      </c>
      <c r="EY101" s="1">
        <v>0</v>
      </c>
      <c r="FF101" s="1">
        <v>1</v>
      </c>
      <c r="FK101" s="1">
        <f t="shared" si="28"/>
        <v>1</v>
      </c>
      <c r="FN101" s="1">
        <v>0</v>
      </c>
      <c r="FS101" s="1">
        <f t="shared" si="29"/>
        <v>0</v>
      </c>
      <c r="FV101" s="1">
        <v>1</v>
      </c>
      <c r="GA101" s="1">
        <f t="shared" si="30"/>
        <v>1</v>
      </c>
      <c r="GD101" s="1" t="s">
        <v>287</v>
      </c>
      <c r="GK101" s="1">
        <v>0</v>
      </c>
      <c r="GP101" s="1">
        <f t="shared" si="31"/>
        <v>0</v>
      </c>
      <c r="GS101" s="1">
        <v>1200</v>
      </c>
      <c r="GX101" s="1">
        <f t="shared" si="32"/>
        <v>1.2</v>
      </c>
      <c r="HA101" s="1">
        <v>1</v>
      </c>
      <c r="HF101" s="1">
        <f t="shared" si="33"/>
        <v>1</v>
      </c>
      <c r="HI101" s="1">
        <v>12.5</v>
      </c>
      <c r="HN101" s="1">
        <f t="shared" si="34"/>
        <v>12.5</v>
      </c>
      <c r="HQ101" s="1">
        <v>0</v>
      </c>
      <c r="HV101" s="1">
        <f t="shared" si="35"/>
        <v>0</v>
      </c>
      <c r="IK101" s="1">
        <v>0</v>
      </c>
      <c r="IL101" s="1">
        <v>0</v>
      </c>
      <c r="IM101" s="1">
        <v>0</v>
      </c>
      <c r="IN101" s="1">
        <v>80</v>
      </c>
      <c r="IO101" s="1">
        <v>0</v>
      </c>
    </row>
    <row r="102" spans="1:249" x14ac:dyDescent="0.25">
      <c r="A102" s="1">
        <v>101</v>
      </c>
      <c r="B102" s="1" t="s">
        <v>237</v>
      </c>
      <c r="C102" s="1" t="s">
        <v>194</v>
      </c>
      <c r="D102" s="1" t="s">
        <v>286</v>
      </c>
      <c r="E102" s="1" t="s">
        <v>288</v>
      </c>
      <c r="F102" s="1">
        <v>1</v>
      </c>
      <c r="G102" s="1">
        <v>0</v>
      </c>
      <c r="H102" s="1">
        <v>0</v>
      </c>
      <c r="I102" s="1">
        <v>38</v>
      </c>
      <c r="J102" s="1">
        <v>1</v>
      </c>
      <c r="K102" s="1">
        <v>1</v>
      </c>
      <c r="M102" s="1">
        <v>1</v>
      </c>
      <c r="N102" s="1">
        <v>1</v>
      </c>
      <c r="O102" s="1">
        <v>2</v>
      </c>
      <c r="P102" s="1">
        <v>12</v>
      </c>
      <c r="Q102" s="1">
        <v>1200</v>
      </c>
      <c r="R102" s="1">
        <v>0</v>
      </c>
      <c r="T102" s="1">
        <v>0</v>
      </c>
      <c r="U102" s="1">
        <v>0</v>
      </c>
      <c r="V102" s="1">
        <v>1</v>
      </c>
      <c r="W102" s="1" t="s">
        <v>240</v>
      </c>
      <c r="X102" s="1">
        <v>3</v>
      </c>
      <c r="Y102" s="1">
        <f t="shared" si="18"/>
        <v>1</v>
      </c>
      <c r="Z102" s="1">
        <f t="shared" si="19"/>
        <v>0</v>
      </c>
      <c r="AA102" s="1">
        <v>7</v>
      </c>
      <c r="AC102" s="1">
        <v>0</v>
      </c>
      <c r="AD102" s="1">
        <v>0</v>
      </c>
      <c r="AE102" s="1">
        <v>0</v>
      </c>
      <c r="AF102" s="1">
        <v>1</v>
      </c>
      <c r="AG102" s="1">
        <v>1</v>
      </c>
      <c r="AH102" s="1">
        <v>0</v>
      </c>
      <c r="AI102" s="1">
        <v>0</v>
      </c>
      <c r="AJ102" s="1">
        <v>0</v>
      </c>
      <c r="AK102" s="1">
        <v>1</v>
      </c>
      <c r="AL102" s="1">
        <v>1</v>
      </c>
      <c r="AM102" s="1">
        <v>9</v>
      </c>
      <c r="AO102" s="1">
        <v>1</v>
      </c>
      <c r="AP102" s="1">
        <v>1</v>
      </c>
      <c r="AQ102" s="1">
        <v>0</v>
      </c>
      <c r="AS102" s="1">
        <v>1</v>
      </c>
      <c r="AT102" s="1">
        <v>1</v>
      </c>
      <c r="AU102" s="1">
        <v>1</v>
      </c>
      <c r="AV102" s="1">
        <v>0</v>
      </c>
      <c r="AW102" s="1">
        <v>0</v>
      </c>
      <c r="AX102" s="1">
        <v>0</v>
      </c>
      <c r="AY102" s="1">
        <v>2</v>
      </c>
      <c r="AZ102" s="1">
        <v>0.25</v>
      </c>
      <c r="BA102" s="1">
        <v>1</v>
      </c>
      <c r="BB102" s="1">
        <v>0</v>
      </c>
      <c r="BC102" s="1">
        <v>0</v>
      </c>
      <c r="BD102" s="1">
        <v>0</v>
      </c>
      <c r="BE102" s="1">
        <v>4</v>
      </c>
      <c r="BG102" s="1" t="s">
        <v>224</v>
      </c>
      <c r="BH102" s="1" t="s">
        <v>260</v>
      </c>
      <c r="BK102" s="1" t="s">
        <v>282</v>
      </c>
      <c r="BR102" s="1">
        <v>1</v>
      </c>
      <c r="BS102" s="1">
        <v>0</v>
      </c>
      <c r="BT102" s="1">
        <v>0</v>
      </c>
      <c r="BU102" s="1">
        <v>1</v>
      </c>
      <c r="BV102" s="1">
        <v>1</v>
      </c>
      <c r="BW102" s="1">
        <v>1</v>
      </c>
      <c r="BX102" s="1">
        <v>0</v>
      </c>
      <c r="BZ102" s="1">
        <v>1</v>
      </c>
      <c r="CA102" s="1">
        <v>1</v>
      </c>
      <c r="CF102" s="1">
        <f t="shared" si="20"/>
        <v>1</v>
      </c>
      <c r="CH102" s="1">
        <v>1</v>
      </c>
      <c r="CI102" s="1">
        <v>1</v>
      </c>
      <c r="CO102" s="1">
        <v>1800</v>
      </c>
      <c r="CV102" s="1">
        <v>1</v>
      </c>
      <c r="CW102" s="1">
        <v>1</v>
      </c>
      <c r="DB102" s="7">
        <f t="shared" si="21"/>
        <v>0.9</v>
      </c>
      <c r="DC102" s="5">
        <f t="shared" si="22"/>
        <v>3</v>
      </c>
      <c r="DE102" s="1">
        <v>3333</v>
      </c>
      <c r="DF102" s="1">
        <v>3333</v>
      </c>
      <c r="DL102" s="1">
        <v>7</v>
      </c>
      <c r="DM102" s="1">
        <v>7</v>
      </c>
      <c r="DR102" s="1">
        <f t="shared" si="23"/>
        <v>7</v>
      </c>
      <c r="DU102" s="1">
        <v>1</v>
      </c>
      <c r="DZ102" s="1">
        <f t="shared" si="24"/>
        <v>1</v>
      </c>
      <c r="EF102" s="1">
        <f t="shared" si="25"/>
        <v>0</v>
      </c>
      <c r="EH102" s="1">
        <v>0</v>
      </c>
      <c r="EI102" s="1">
        <v>0</v>
      </c>
      <c r="EN102" s="1">
        <f t="shared" si="26"/>
        <v>0</v>
      </c>
      <c r="EP102" s="1">
        <v>0</v>
      </c>
      <c r="EQ102" s="1">
        <v>0</v>
      </c>
      <c r="EV102" s="1">
        <f t="shared" si="27"/>
        <v>0</v>
      </c>
      <c r="EX102" s="1">
        <v>0</v>
      </c>
      <c r="EY102" s="1">
        <v>0</v>
      </c>
      <c r="FE102" s="1">
        <v>1</v>
      </c>
      <c r="FF102" s="1">
        <v>1</v>
      </c>
      <c r="FK102" s="1">
        <f t="shared" si="28"/>
        <v>1</v>
      </c>
      <c r="FM102" s="1">
        <v>0</v>
      </c>
      <c r="FN102" s="1">
        <v>0</v>
      </c>
      <c r="FS102" s="1">
        <f t="shared" si="29"/>
        <v>0</v>
      </c>
      <c r="FU102" s="1">
        <v>1</v>
      </c>
      <c r="FV102" s="1">
        <v>1</v>
      </c>
      <c r="GA102" s="1">
        <f t="shared" si="30"/>
        <v>1</v>
      </c>
      <c r="GC102" s="1" t="s">
        <v>287</v>
      </c>
      <c r="GD102" s="1" t="s">
        <v>287</v>
      </c>
      <c r="GJ102" s="1">
        <v>0</v>
      </c>
      <c r="GK102" s="1">
        <v>0</v>
      </c>
      <c r="GP102" s="1">
        <f t="shared" si="31"/>
        <v>0</v>
      </c>
      <c r="GR102" s="1">
        <v>1000</v>
      </c>
      <c r="GS102" s="1">
        <v>1000</v>
      </c>
      <c r="GX102" s="1">
        <f t="shared" si="32"/>
        <v>2</v>
      </c>
      <c r="GZ102" s="1">
        <v>1</v>
      </c>
      <c r="HA102" s="1">
        <v>1</v>
      </c>
      <c r="HF102" s="1">
        <f t="shared" si="33"/>
        <v>1</v>
      </c>
      <c r="HH102" s="1">
        <v>11.5</v>
      </c>
      <c r="HI102" s="1">
        <v>7.1</v>
      </c>
      <c r="HN102" s="1">
        <f t="shared" si="34"/>
        <v>9.3000000000000007</v>
      </c>
      <c r="HP102" s="1">
        <v>0</v>
      </c>
      <c r="HQ102" s="1">
        <v>0</v>
      </c>
      <c r="HV102" s="1">
        <f t="shared" si="35"/>
        <v>0</v>
      </c>
      <c r="IK102" s="1">
        <v>0</v>
      </c>
      <c r="IL102" s="1">
        <v>0</v>
      </c>
      <c r="IM102" s="1">
        <v>0</v>
      </c>
      <c r="IN102" s="1">
        <v>80</v>
      </c>
      <c r="IO102" s="1">
        <v>0</v>
      </c>
    </row>
    <row r="103" spans="1:249" x14ac:dyDescent="0.25">
      <c r="A103" s="1">
        <v>102</v>
      </c>
      <c r="B103" s="1" t="s">
        <v>237</v>
      </c>
      <c r="C103" s="1" t="s">
        <v>194</v>
      </c>
      <c r="D103" s="1" t="s">
        <v>286</v>
      </c>
      <c r="E103" s="1" t="s">
        <v>286</v>
      </c>
      <c r="F103" s="1">
        <v>1</v>
      </c>
      <c r="G103" s="1">
        <v>0</v>
      </c>
      <c r="H103" s="1">
        <v>0</v>
      </c>
      <c r="I103" s="1">
        <v>42</v>
      </c>
      <c r="J103" s="1">
        <v>1</v>
      </c>
      <c r="K103" s="1">
        <v>1</v>
      </c>
      <c r="M103" s="1">
        <v>1</v>
      </c>
      <c r="N103" s="1">
        <v>1</v>
      </c>
      <c r="O103" s="1">
        <v>0</v>
      </c>
      <c r="P103" s="1">
        <v>42</v>
      </c>
      <c r="Q103" s="1">
        <v>800</v>
      </c>
      <c r="R103" s="1">
        <v>0</v>
      </c>
      <c r="T103" s="1">
        <v>0</v>
      </c>
      <c r="U103" s="1">
        <v>0</v>
      </c>
      <c r="V103" s="1">
        <v>1</v>
      </c>
      <c r="W103" s="1" t="s">
        <v>240</v>
      </c>
      <c r="X103" s="1">
        <v>3</v>
      </c>
      <c r="Y103" s="1">
        <f t="shared" si="18"/>
        <v>1</v>
      </c>
      <c r="Z103" s="1">
        <f t="shared" si="19"/>
        <v>0</v>
      </c>
      <c r="AA103" s="1">
        <v>6</v>
      </c>
      <c r="AC103" s="1">
        <v>1</v>
      </c>
      <c r="AD103" s="1">
        <v>1</v>
      </c>
      <c r="AE103" s="1">
        <v>1</v>
      </c>
      <c r="AF103" s="1">
        <v>1</v>
      </c>
      <c r="AG103" s="1">
        <v>1</v>
      </c>
      <c r="AH103" s="1">
        <v>0</v>
      </c>
      <c r="AI103" s="1">
        <v>1</v>
      </c>
      <c r="AJ103" s="1">
        <v>0</v>
      </c>
      <c r="AK103" s="1">
        <v>0</v>
      </c>
      <c r="AL103" s="1">
        <v>1</v>
      </c>
      <c r="AM103" s="1">
        <v>7</v>
      </c>
      <c r="AO103" s="1">
        <v>1</v>
      </c>
      <c r="AP103" s="1">
        <v>0</v>
      </c>
      <c r="AQ103" s="1">
        <v>0</v>
      </c>
      <c r="AS103" s="1">
        <v>1</v>
      </c>
      <c r="AT103" s="1">
        <v>1</v>
      </c>
      <c r="AU103" s="1">
        <v>0</v>
      </c>
      <c r="AV103" s="1">
        <v>0</v>
      </c>
      <c r="AW103" s="1">
        <v>0</v>
      </c>
      <c r="AX103" s="1">
        <v>0</v>
      </c>
      <c r="AY103" s="1">
        <v>2</v>
      </c>
      <c r="AZ103" s="1">
        <v>0.25</v>
      </c>
      <c r="BA103" s="1">
        <v>0</v>
      </c>
      <c r="BB103" s="1">
        <v>0</v>
      </c>
      <c r="BC103" s="1">
        <v>0</v>
      </c>
      <c r="BD103" s="1">
        <v>0</v>
      </c>
      <c r="BE103" s="1">
        <v>2</v>
      </c>
      <c r="BG103" s="1" t="s">
        <v>224</v>
      </c>
      <c r="BH103" s="1" t="s">
        <v>225</v>
      </c>
      <c r="BI103" s="1" t="s">
        <v>260</v>
      </c>
      <c r="BR103" s="1">
        <v>1</v>
      </c>
      <c r="BS103" s="1">
        <v>0</v>
      </c>
      <c r="BT103" s="1">
        <v>0</v>
      </c>
      <c r="BU103" s="1">
        <v>1</v>
      </c>
      <c r="BV103" s="1">
        <v>1</v>
      </c>
      <c r="BW103" s="1">
        <v>1</v>
      </c>
      <c r="BX103" s="1">
        <v>0</v>
      </c>
      <c r="BZ103" s="1">
        <v>1</v>
      </c>
      <c r="CF103" s="1">
        <f t="shared" si="20"/>
        <v>0</v>
      </c>
      <c r="CH103" s="1">
        <v>2</v>
      </c>
      <c r="CO103" s="1">
        <v>2150</v>
      </c>
      <c r="CV103" s="1">
        <v>1</v>
      </c>
      <c r="DB103" s="7">
        <f t="shared" si="21"/>
        <v>2.15</v>
      </c>
      <c r="DC103" s="5">
        <f t="shared" si="22"/>
        <v>3</v>
      </c>
      <c r="DE103" s="1">
        <v>3333</v>
      </c>
      <c r="DL103" s="1">
        <v>8</v>
      </c>
      <c r="DR103" s="1">
        <f t="shared" si="23"/>
        <v>8</v>
      </c>
      <c r="DT103" s="1">
        <v>1</v>
      </c>
      <c r="DZ103" s="1">
        <f t="shared" si="24"/>
        <v>1</v>
      </c>
      <c r="EC103" s="1">
        <v>1</v>
      </c>
      <c r="EF103" s="1">
        <f t="shared" si="25"/>
        <v>1</v>
      </c>
      <c r="EH103" s="1">
        <v>0</v>
      </c>
      <c r="EN103" s="1">
        <f t="shared" si="26"/>
        <v>0</v>
      </c>
      <c r="EP103" s="1">
        <v>1</v>
      </c>
      <c r="EV103" s="1">
        <f t="shared" si="27"/>
        <v>1</v>
      </c>
      <c r="EX103" s="1">
        <v>1</v>
      </c>
      <c r="FE103" s="1">
        <v>1</v>
      </c>
      <c r="FK103" s="1">
        <f t="shared" si="28"/>
        <v>1</v>
      </c>
      <c r="FM103" s="1">
        <v>0</v>
      </c>
      <c r="FS103" s="1">
        <f t="shared" si="29"/>
        <v>0</v>
      </c>
      <c r="FU103" s="1">
        <v>1</v>
      </c>
      <c r="GA103" s="1">
        <f t="shared" si="30"/>
        <v>1</v>
      </c>
      <c r="GC103" s="1" t="s">
        <v>287</v>
      </c>
      <c r="GJ103" s="1">
        <v>0</v>
      </c>
      <c r="GP103" s="1">
        <f t="shared" si="31"/>
        <v>0</v>
      </c>
      <c r="GR103" s="1">
        <v>1000</v>
      </c>
      <c r="GX103" s="1">
        <f t="shared" si="32"/>
        <v>1</v>
      </c>
      <c r="GZ103" s="1">
        <v>1</v>
      </c>
      <c r="HF103" s="1">
        <f t="shared" si="33"/>
        <v>1</v>
      </c>
      <c r="HH103" s="1">
        <v>11</v>
      </c>
      <c r="HN103" s="1">
        <f t="shared" si="34"/>
        <v>11</v>
      </c>
      <c r="HP103" s="1">
        <v>0</v>
      </c>
      <c r="HV103" s="1">
        <f t="shared" si="35"/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</row>
    <row r="104" spans="1:249" x14ac:dyDescent="0.25">
      <c r="A104" s="1">
        <v>103</v>
      </c>
      <c r="B104" s="1" t="s">
        <v>237</v>
      </c>
      <c r="C104" s="1" t="s">
        <v>194</v>
      </c>
      <c r="D104" s="1" t="s">
        <v>292</v>
      </c>
      <c r="E104" s="1" t="s">
        <v>292</v>
      </c>
      <c r="F104" s="1">
        <v>1</v>
      </c>
      <c r="G104" s="1">
        <v>0</v>
      </c>
      <c r="H104" s="1">
        <v>0</v>
      </c>
      <c r="I104" s="1">
        <v>72</v>
      </c>
      <c r="J104" s="1">
        <v>1</v>
      </c>
      <c r="K104" s="1">
        <v>1</v>
      </c>
      <c r="M104" s="1">
        <v>0</v>
      </c>
      <c r="N104" s="1">
        <v>1</v>
      </c>
      <c r="O104" s="1">
        <v>1</v>
      </c>
      <c r="P104" s="1">
        <v>40</v>
      </c>
      <c r="Q104" s="1">
        <v>600</v>
      </c>
      <c r="R104" s="1">
        <v>0</v>
      </c>
      <c r="T104" s="1">
        <v>1</v>
      </c>
      <c r="U104" s="1">
        <v>600</v>
      </c>
      <c r="V104" s="1">
        <v>1</v>
      </c>
      <c r="W104" s="1" t="s">
        <v>240</v>
      </c>
      <c r="X104" s="1">
        <v>3</v>
      </c>
      <c r="Y104" s="1">
        <f t="shared" si="18"/>
        <v>1</v>
      </c>
      <c r="Z104" s="1">
        <f t="shared" si="19"/>
        <v>0</v>
      </c>
      <c r="AA104" s="1">
        <v>6</v>
      </c>
      <c r="AC104" s="1">
        <v>0</v>
      </c>
      <c r="AD104" s="1">
        <v>0</v>
      </c>
      <c r="AE104" s="1">
        <v>1</v>
      </c>
      <c r="AF104" s="1">
        <v>1</v>
      </c>
      <c r="AG104" s="1">
        <v>1</v>
      </c>
      <c r="AH104" s="1">
        <v>0</v>
      </c>
      <c r="AI104" s="1">
        <v>0</v>
      </c>
      <c r="AJ104" s="1">
        <v>0</v>
      </c>
      <c r="AK104" s="1">
        <v>0</v>
      </c>
      <c r="AL104" s="1">
        <v>1</v>
      </c>
      <c r="AM104" s="1">
        <v>8</v>
      </c>
      <c r="AO104" s="1">
        <v>1</v>
      </c>
      <c r="AP104" s="1">
        <v>0</v>
      </c>
      <c r="AQ104" s="1">
        <v>1</v>
      </c>
      <c r="AS104" s="1">
        <v>1</v>
      </c>
      <c r="AT104" s="1">
        <v>0</v>
      </c>
      <c r="AU104" s="1">
        <v>0</v>
      </c>
      <c r="AV104" s="1">
        <v>0</v>
      </c>
      <c r="AW104" s="1">
        <v>1</v>
      </c>
      <c r="AX104" s="1">
        <v>0</v>
      </c>
      <c r="AY104" s="1">
        <v>2</v>
      </c>
      <c r="AZ104" s="1">
        <v>0</v>
      </c>
      <c r="BA104" s="1">
        <v>0</v>
      </c>
      <c r="BB104" s="1">
        <v>0</v>
      </c>
      <c r="BC104" s="1">
        <v>1</v>
      </c>
      <c r="BD104" s="1">
        <v>0</v>
      </c>
      <c r="BE104" s="1">
        <v>0</v>
      </c>
      <c r="BG104" s="1" t="s">
        <v>224</v>
      </c>
      <c r="BO104" s="1" t="s">
        <v>293</v>
      </c>
      <c r="BR104" s="1">
        <v>0</v>
      </c>
      <c r="BS104" s="1">
        <v>0</v>
      </c>
      <c r="BT104" s="1">
        <v>0</v>
      </c>
      <c r="BU104" s="1">
        <v>1</v>
      </c>
      <c r="BV104" s="1">
        <v>1</v>
      </c>
      <c r="BW104" s="1">
        <v>1</v>
      </c>
      <c r="BX104" s="1">
        <v>0</v>
      </c>
      <c r="BZ104" s="1">
        <v>1</v>
      </c>
      <c r="CF104" s="1">
        <f t="shared" si="20"/>
        <v>0</v>
      </c>
      <c r="CH104" s="1">
        <v>1.5</v>
      </c>
      <c r="CO104" s="1">
        <v>1250</v>
      </c>
      <c r="CV104" s="1">
        <v>1.5</v>
      </c>
      <c r="DB104" s="7">
        <f t="shared" si="21"/>
        <v>0.83333333333333337</v>
      </c>
      <c r="DC104" s="5">
        <f t="shared" si="22"/>
        <v>3</v>
      </c>
      <c r="DE104" s="1">
        <v>3000</v>
      </c>
      <c r="DL104" s="1">
        <v>8</v>
      </c>
      <c r="DR104" s="1">
        <f t="shared" si="23"/>
        <v>8</v>
      </c>
      <c r="DT104" s="1">
        <v>1</v>
      </c>
      <c r="DZ104" s="1">
        <f t="shared" si="24"/>
        <v>1</v>
      </c>
      <c r="EC104" s="1">
        <v>1</v>
      </c>
      <c r="EF104" s="1">
        <f t="shared" si="25"/>
        <v>1</v>
      </c>
      <c r="EH104" s="1">
        <v>1</v>
      </c>
      <c r="EN104" s="1">
        <f t="shared" si="26"/>
        <v>1</v>
      </c>
      <c r="EP104" s="1">
        <v>1</v>
      </c>
      <c r="EV104" s="1">
        <f t="shared" si="27"/>
        <v>1</v>
      </c>
      <c r="EX104" s="1">
        <v>1</v>
      </c>
      <c r="FE104" s="1">
        <v>1</v>
      </c>
      <c r="FK104" s="1">
        <f t="shared" si="28"/>
        <v>1</v>
      </c>
      <c r="FM104" s="1">
        <v>0</v>
      </c>
      <c r="FS104" s="1">
        <f t="shared" si="29"/>
        <v>0</v>
      </c>
      <c r="FU104" s="1">
        <v>1</v>
      </c>
      <c r="GA104" s="1">
        <f t="shared" si="30"/>
        <v>1</v>
      </c>
      <c r="GC104" s="1" t="s">
        <v>294</v>
      </c>
      <c r="GJ104" s="1">
        <v>0</v>
      </c>
      <c r="GP104" s="1">
        <f t="shared" si="31"/>
        <v>0</v>
      </c>
      <c r="GR104" s="1">
        <v>1500</v>
      </c>
      <c r="GX104" s="1">
        <f t="shared" si="32"/>
        <v>1.5</v>
      </c>
      <c r="GZ104" s="1">
        <v>1</v>
      </c>
      <c r="HF104" s="1">
        <f t="shared" si="33"/>
        <v>1</v>
      </c>
      <c r="HH104" s="1">
        <v>10</v>
      </c>
      <c r="HN104" s="1">
        <f t="shared" si="34"/>
        <v>10</v>
      </c>
      <c r="HP104" s="1">
        <v>0</v>
      </c>
      <c r="HV104" s="1">
        <f t="shared" si="35"/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</row>
    <row r="105" spans="1:249" x14ac:dyDescent="0.25">
      <c r="A105" s="1">
        <v>104</v>
      </c>
      <c r="B105" s="1" t="s">
        <v>237</v>
      </c>
      <c r="C105" s="1" t="s">
        <v>194</v>
      </c>
      <c r="D105" s="1" t="s">
        <v>292</v>
      </c>
      <c r="E105" s="1" t="s">
        <v>292</v>
      </c>
      <c r="F105" s="1">
        <v>1</v>
      </c>
      <c r="G105" s="1">
        <v>0</v>
      </c>
      <c r="H105" s="1">
        <v>0</v>
      </c>
      <c r="I105" s="1">
        <v>50</v>
      </c>
      <c r="J105" s="1">
        <v>1</v>
      </c>
      <c r="K105" s="1">
        <v>1</v>
      </c>
      <c r="M105" s="1">
        <v>0</v>
      </c>
      <c r="N105" s="1">
        <v>1</v>
      </c>
      <c r="O105" s="1">
        <v>4</v>
      </c>
      <c r="P105" s="1">
        <v>50</v>
      </c>
      <c r="Q105" s="1">
        <v>600</v>
      </c>
      <c r="R105" s="1">
        <v>0</v>
      </c>
      <c r="T105" s="1">
        <v>1</v>
      </c>
      <c r="U105" s="1">
        <v>600</v>
      </c>
      <c r="V105" s="1">
        <v>1</v>
      </c>
      <c r="W105" s="1" t="s">
        <v>240</v>
      </c>
      <c r="X105" s="1">
        <v>3</v>
      </c>
      <c r="Y105" s="1">
        <f t="shared" si="18"/>
        <v>1</v>
      </c>
      <c r="Z105" s="1">
        <f t="shared" si="19"/>
        <v>0</v>
      </c>
      <c r="AA105" s="1">
        <v>5</v>
      </c>
      <c r="AC105" s="1">
        <v>0</v>
      </c>
      <c r="AD105" s="1">
        <v>0</v>
      </c>
      <c r="AE105" s="1">
        <v>1</v>
      </c>
      <c r="AF105" s="1">
        <v>1</v>
      </c>
      <c r="AG105" s="1">
        <v>1</v>
      </c>
      <c r="AH105" s="1">
        <v>0</v>
      </c>
      <c r="AI105" s="1">
        <v>1</v>
      </c>
      <c r="AJ105" s="1">
        <v>0</v>
      </c>
      <c r="AK105" s="1">
        <v>0</v>
      </c>
      <c r="AL105" s="1">
        <v>1</v>
      </c>
      <c r="AM105" s="1">
        <v>8</v>
      </c>
      <c r="AO105" s="1">
        <v>1</v>
      </c>
      <c r="AP105" s="1">
        <v>0</v>
      </c>
      <c r="AQ105" s="1">
        <v>0</v>
      </c>
      <c r="AS105" s="1">
        <v>1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2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G105" s="1" t="s">
        <v>224</v>
      </c>
      <c r="BR105" s="1">
        <v>0</v>
      </c>
      <c r="BS105" s="1">
        <v>0</v>
      </c>
      <c r="BT105" s="1">
        <v>1</v>
      </c>
      <c r="BU105" s="1">
        <v>1</v>
      </c>
      <c r="BV105" s="1">
        <v>1</v>
      </c>
      <c r="BW105" s="1">
        <v>1</v>
      </c>
      <c r="BX105" s="1">
        <v>0</v>
      </c>
      <c r="BZ105" s="1">
        <v>1</v>
      </c>
      <c r="CF105" s="1">
        <f t="shared" si="20"/>
        <v>0</v>
      </c>
      <c r="CH105" s="1">
        <v>2</v>
      </c>
      <c r="CO105" s="1">
        <v>1200</v>
      </c>
      <c r="CV105" s="1">
        <v>2</v>
      </c>
      <c r="DB105" s="7">
        <f t="shared" si="21"/>
        <v>0.6</v>
      </c>
      <c r="DC105" s="5">
        <f t="shared" si="22"/>
        <v>1</v>
      </c>
      <c r="DE105" s="1">
        <v>3000</v>
      </c>
      <c r="DL105" s="1">
        <v>8</v>
      </c>
      <c r="DR105" s="1">
        <f t="shared" si="23"/>
        <v>8</v>
      </c>
      <c r="DT105" s="1">
        <v>1</v>
      </c>
      <c r="DZ105" s="1">
        <f t="shared" si="24"/>
        <v>1</v>
      </c>
      <c r="EF105" s="1">
        <f t="shared" si="25"/>
        <v>0</v>
      </c>
      <c r="EH105" s="1">
        <v>1</v>
      </c>
      <c r="EN105" s="1">
        <f t="shared" si="26"/>
        <v>1</v>
      </c>
      <c r="EP105" s="1">
        <v>1</v>
      </c>
      <c r="EV105" s="1">
        <f t="shared" si="27"/>
        <v>1</v>
      </c>
      <c r="EX105" s="1">
        <v>1</v>
      </c>
      <c r="FE105" s="1">
        <v>1</v>
      </c>
      <c r="FK105" s="1">
        <f t="shared" si="28"/>
        <v>1</v>
      </c>
      <c r="FM105" s="1">
        <v>0</v>
      </c>
      <c r="FS105" s="1">
        <f t="shared" si="29"/>
        <v>0</v>
      </c>
      <c r="FU105" s="1">
        <v>1</v>
      </c>
      <c r="GA105" s="1">
        <f t="shared" si="30"/>
        <v>1</v>
      </c>
      <c r="GC105" s="1" t="s">
        <v>294</v>
      </c>
      <c r="GJ105" s="1">
        <v>0</v>
      </c>
      <c r="GP105" s="1">
        <f t="shared" si="31"/>
        <v>0</v>
      </c>
      <c r="GR105" s="1">
        <v>1000</v>
      </c>
      <c r="GX105" s="1">
        <f t="shared" si="32"/>
        <v>1</v>
      </c>
      <c r="GZ105" s="1">
        <v>1</v>
      </c>
      <c r="HF105" s="1">
        <f t="shared" si="33"/>
        <v>1</v>
      </c>
      <c r="HH105" s="1">
        <v>8</v>
      </c>
      <c r="HN105" s="1">
        <f t="shared" si="34"/>
        <v>8</v>
      </c>
      <c r="HP105" s="1">
        <v>0</v>
      </c>
      <c r="HV105" s="1">
        <f t="shared" si="35"/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</row>
    <row r="106" spans="1:249" x14ac:dyDescent="0.25">
      <c r="A106" s="1">
        <v>105</v>
      </c>
      <c r="B106" s="1" t="s">
        <v>237</v>
      </c>
      <c r="C106" s="1" t="s">
        <v>194</v>
      </c>
      <c r="D106" s="1" t="s">
        <v>292</v>
      </c>
      <c r="E106" s="1" t="s">
        <v>292</v>
      </c>
      <c r="F106" s="1">
        <v>1</v>
      </c>
      <c r="G106" s="1">
        <v>0</v>
      </c>
      <c r="H106" s="1">
        <v>0</v>
      </c>
      <c r="I106" s="1">
        <v>75</v>
      </c>
      <c r="J106" s="1">
        <v>1</v>
      </c>
      <c r="K106" s="1">
        <v>1</v>
      </c>
      <c r="M106" s="1">
        <v>1</v>
      </c>
      <c r="N106" s="1">
        <v>1</v>
      </c>
      <c r="O106" s="1">
        <v>1</v>
      </c>
      <c r="P106" s="1">
        <v>25</v>
      </c>
      <c r="Q106" s="1">
        <v>600</v>
      </c>
      <c r="R106" s="1">
        <v>1</v>
      </c>
      <c r="S106" s="1" t="s">
        <v>197</v>
      </c>
      <c r="T106" s="1">
        <v>1</v>
      </c>
      <c r="U106" s="1">
        <v>600</v>
      </c>
      <c r="V106" s="1">
        <v>1</v>
      </c>
      <c r="W106" s="1" t="s">
        <v>240</v>
      </c>
      <c r="X106" s="1">
        <v>3</v>
      </c>
      <c r="Y106" s="1">
        <f t="shared" si="18"/>
        <v>1</v>
      </c>
      <c r="Z106" s="1">
        <f t="shared" si="19"/>
        <v>0</v>
      </c>
      <c r="AA106" s="1">
        <v>7</v>
      </c>
      <c r="AC106" s="1">
        <v>0</v>
      </c>
      <c r="AD106" s="1">
        <v>1</v>
      </c>
      <c r="AE106" s="1">
        <v>1</v>
      </c>
      <c r="AF106" s="1">
        <v>1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1</v>
      </c>
      <c r="AM106" s="1">
        <v>8</v>
      </c>
      <c r="AO106" s="1">
        <v>1</v>
      </c>
      <c r="AP106" s="1">
        <v>0</v>
      </c>
      <c r="AQ106" s="1">
        <v>0</v>
      </c>
      <c r="AS106" s="1">
        <v>1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1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1.5</v>
      </c>
      <c r="BG106" s="1" t="s">
        <v>224</v>
      </c>
      <c r="BR106" s="1">
        <v>0</v>
      </c>
      <c r="BS106" s="1">
        <v>0</v>
      </c>
      <c r="BT106" s="1">
        <v>0</v>
      </c>
      <c r="BU106" s="1">
        <v>1</v>
      </c>
      <c r="BV106" s="1">
        <v>1</v>
      </c>
      <c r="BW106" s="1">
        <v>1</v>
      </c>
      <c r="BX106" s="1">
        <v>0</v>
      </c>
      <c r="BZ106" s="1">
        <v>1</v>
      </c>
      <c r="CF106" s="1">
        <f t="shared" si="20"/>
        <v>0</v>
      </c>
      <c r="CH106" s="1">
        <v>1</v>
      </c>
      <c r="CO106" s="1">
        <v>1250</v>
      </c>
      <c r="CV106" s="1">
        <v>1</v>
      </c>
      <c r="DB106" s="7">
        <f t="shared" si="21"/>
        <v>1.25</v>
      </c>
      <c r="DC106" s="5">
        <f t="shared" si="22"/>
        <v>3</v>
      </c>
      <c r="DE106" s="1">
        <v>3000</v>
      </c>
      <c r="DL106" s="1">
        <v>8</v>
      </c>
      <c r="DR106" s="1">
        <f t="shared" si="23"/>
        <v>8</v>
      </c>
      <c r="DT106" s="1">
        <v>1</v>
      </c>
      <c r="DZ106" s="1">
        <f t="shared" si="24"/>
        <v>1</v>
      </c>
      <c r="EC106" s="1">
        <v>1</v>
      </c>
      <c r="EF106" s="1">
        <f t="shared" si="25"/>
        <v>1</v>
      </c>
      <c r="EH106" s="1">
        <v>1</v>
      </c>
      <c r="EN106" s="1">
        <f t="shared" si="26"/>
        <v>1</v>
      </c>
      <c r="EP106" s="1">
        <v>1</v>
      </c>
      <c r="EV106" s="1">
        <f t="shared" si="27"/>
        <v>1</v>
      </c>
      <c r="EX106" s="1">
        <v>1</v>
      </c>
      <c r="FE106" s="1">
        <v>1</v>
      </c>
      <c r="FK106" s="1">
        <f t="shared" si="28"/>
        <v>1</v>
      </c>
      <c r="FM106" s="1">
        <v>0</v>
      </c>
      <c r="FS106" s="1">
        <f t="shared" si="29"/>
        <v>0</v>
      </c>
      <c r="FU106" s="1">
        <v>1</v>
      </c>
      <c r="GA106" s="1">
        <f t="shared" si="30"/>
        <v>1</v>
      </c>
      <c r="GC106" s="1" t="s">
        <v>294</v>
      </c>
      <c r="GJ106" s="1">
        <v>0</v>
      </c>
      <c r="GP106" s="1">
        <f t="shared" si="31"/>
        <v>0</v>
      </c>
      <c r="GR106" s="1">
        <v>1000</v>
      </c>
      <c r="GX106" s="1">
        <f t="shared" si="32"/>
        <v>1</v>
      </c>
      <c r="GZ106" s="1">
        <v>1</v>
      </c>
      <c r="HF106" s="1">
        <f t="shared" si="33"/>
        <v>1</v>
      </c>
      <c r="HH106" s="1">
        <v>12</v>
      </c>
      <c r="HN106" s="1">
        <f t="shared" si="34"/>
        <v>12</v>
      </c>
      <c r="HP106" s="1">
        <v>0</v>
      </c>
      <c r="HV106" s="1">
        <f t="shared" si="35"/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</row>
    <row r="107" spans="1:249" x14ac:dyDescent="0.25">
      <c r="A107" s="1">
        <v>106</v>
      </c>
      <c r="B107" s="1" t="s">
        <v>237</v>
      </c>
      <c r="C107" s="1" t="s">
        <v>194</v>
      </c>
      <c r="D107" s="1" t="s">
        <v>292</v>
      </c>
      <c r="E107" s="1" t="s">
        <v>292</v>
      </c>
      <c r="F107" s="1">
        <v>1</v>
      </c>
      <c r="G107" s="1">
        <v>0</v>
      </c>
      <c r="H107" s="1">
        <v>0</v>
      </c>
      <c r="I107" s="1">
        <v>40</v>
      </c>
      <c r="J107" s="1">
        <v>0</v>
      </c>
      <c r="K107" s="1">
        <v>1</v>
      </c>
      <c r="M107" s="1">
        <v>0</v>
      </c>
      <c r="N107" s="1">
        <v>1</v>
      </c>
      <c r="O107" s="1">
        <v>2</v>
      </c>
      <c r="P107" s="1">
        <v>25</v>
      </c>
      <c r="Q107" s="1">
        <v>600</v>
      </c>
      <c r="R107" s="1">
        <v>0</v>
      </c>
      <c r="T107" s="1">
        <v>1</v>
      </c>
      <c r="U107" s="1">
        <v>500</v>
      </c>
      <c r="V107" s="1">
        <v>1</v>
      </c>
      <c r="W107" s="1" t="s">
        <v>240</v>
      </c>
      <c r="X107" s="1">
        <v>2</v>
      </c>
      <c r="Y107" s="1">
        <f t="shared" si="18"/>
        <v>1</v>
      </c>
      <c r="Z107" s="1">
        <f t="shared" si="19"/>
        <v>0</v>
      </c>
      <c r="AA107" s="1">
        <v>5</v>
      </c>
      <c r="AC107" s="1">
        <v>1</v>
      </c>
      <c r="AD107" s="1">
        <v>1</v>
      </c>
      <c r="AE107" s="1">
        <v>1</v>
      </c>
      <c r="AF107" s="1">
        <v>1</v>
      </c>
      <c r="AG107" s="1">
        <v>1</v>
      </c>
      <c r="AH107" s="1">
        <v>0</v>
      </c>
      <c r="AI107" s="1">
        <v>1</v>
      </c>
      <c r="AJ107" s="1">
        <v>0</v>
      </c>
      <c r="AK107" s="1">
        <v>0</v>
      </c>
      <c r="AL107" s="1">
        <v>1</v>
      </c>
      <c r="AM107" s="1">
        <v>7</v>
      </c>
      <c r="AO107" s="1">
        <v>1</v>
      </c>
      <c r="AP107" s="1">
        <v>0</v>
      </c>
      <c r="AQ107" s="1">
        <v>0</v>
      </c>
      <c r="AS107" s="1">
        <v>1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2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2</v>
      </c>
      <c r="BG107" s="1" t="s">
        <v>224</v>
      </c>
      <c r="BR107" s="1">
        <v>0</v>
      </c>
      <c r="BS107" s="1">
        <v>0</v>
      </c>
      <c r="BT107" s="1">
        <v>0</v>
      </c>
      <c r="BU107" s="1">
        <v>1</v>
      </c>
      <c r="BV107" s="1">
        <v>1</v>
      </c>
      <c r="BW107" s="1">
        <v>1</v>
      </c>
      <c r="BX107" s="1">
        <v>0</v>
      </c>
      <c r="BZ107" s="1">
        <v>1</v>
      </c>
      <c r="CF107" s="1">
        <f t="shared" si="20"/>
        <v>0</v>
      </c>
      <c r="CH107" s="1">
        <v>2</v>
      </c>
      <c r="CO107" s="1">
        <v>1200</v>
      </c>
      <c r="CV107" s="1">
        <v>2</v>
      </c>
      <c r="DB107" s="7">
        <f t="shared" si="21"/>
        <v>0.6</v>
      </c>
      <c r="DC107" s="5">
        <f t="shared" si="22"/>
        <v>1</v>
      </c>
      <c r="DE107" s="1">
        <v>3000</v>
      </c>
      <c r="DL107" s="1">
        <v>7</v>
      </c>
      <c r="DR107" s="1">
        <f t="shared" si="23"/>
        <v>7</v>
      </c>
      <c r="DT107" s="1">
        <v>1</v>
      </c>
      <c r="DZ107" s="1">
        <f t="shared" si="24"/>
        <v>1</v>
      </c>
      <c r="EF107" s="1">
        <f t="shared" si="25"/>
        <v>0</v>
      </c>
      <c r="EH107" s="1">
        <v>1</v>
      </c>
      <c r="EN107" s="1">
        <f t="shared" si="26"/>
        <v>1</v>
      </c>
      <c r="EP107" s="1">
        <v>1</v>
      </c>
      <c r="EV107" s="1">
        <f t="shared" si="27"/>
        <v>1</v>
      </c>
      <c r="EX107" s="1">
        <v>1</v>
      </c>
      <c r="FE107" s="1">
        <v>1</v>
      </c>
      <c r="FK107" s="1">
        <f t="shared" si="28"/>
        <v>1</v>
      </c>
      <c r="FM107" s="1">
        <v>0</v>
      </c>
      <c r="FS107" s="1">
        <f t="shared" si="29"/>
        <v>0</v>
      </c>
      <c r="FU107" s="1">
        <v>1</v>
      </c>
      <c r="GA107" s="1">
        <f t="shared" si="30"/>
        <v>1</v>
      </c>
      <c r="GC107" s="1" t="s">
        <v>294</v>
      </c>
      <c r="GJ107" s="1">
        <v>0</v>
      </c>
      <c r="GP107" s="1">
        <f t="shared" si="31"/>
        <v>0</v>
      </c>
      <c r="GR107" s="1">
        <v>1500</v>
      </c>
      <c r="GX107" s="1">
        <f t="shared" si="32"/>
        <v>1.5</v>
      </c>
      <c r="GZ107" s="1">
        <v>1</v>
      </c>
      <c r="HF107" s="1">
        <f t="shared" si="33"/>
        <v>1</v>
      </c>
      <c r="HH107" s="1">
        <v>8.5</v>
      </c>
      <c r="HN107" s="1">
        <f t="shared" si="34"/>
        <v>8.5</v>
      </c>
      <c r="HP107" s="1">
        <v>0</v>
      </c>
      <c r="HV107" s="1">
        <f t="shared" si="35"/>
        <v>0</v>
      </c>
      <c r="IK107" s="1">
        <v>0</v>
      </c>
      <c r="IL107" s="1">
        <v>0</v>
      </c>
      <c r="IM107" s="1">
        <v>0</v>
      </c>
      <c r="IN107" s="1">
        <v>80</v>
      </c>
      <c r="IO107" s="1">
        <v>0</v>
      </c>
    </row>
    <row r="108" spans="1:249" x14ac:dyDescent="0.25">
      <c r="A108" s="1">
        <v>107</v>
      </c>
      <c r="B108" s="1" t="s">
        <v>237</v>
      </c>
      <c r="C108" s="1" t="s">
        <v>194</v>
      </c>
      <c r="D108" s="1" t="s">
        <v>295</v>
      </c>
      <c r="E108" s="1" t="s">
        <v>296</v>
      </c>
      <c r="F108" s="1">
        <v>0</v>
      </c>
      <c r="G108" s="1">
        <v>0</v>
      </c>
      <c r="H108" s="1">
        <v>1</v>
      </c>
      <c r="I108" s="1">
        <v>42</v>
      </c>
      <c r="J108" s="1">
        <v>1</v>
      </c>
      <c r="K108" s="1">
        <v>1</v>
      </c>
      <c r="M108" s="1">
        <v>0</v>
      </c>
      <c r="N108" s="1">
        <v>1</v>
      </c>
      <c r="O108" s="1">
        <v>3</v>
      </c>
      <c r="P108" s="1">
        <v>42</v>
      </c>
      <c r="Q108" s="1">
        <v>600</v>
      </c>
      <c r="R108" s="1">
        <v>0</v>
      </c>
      <c r="T108" s="1">
        <v>1</v>
      </c>
      <c r="U108" s="1">
        <v>600</v>
      </c>
      <c r="V108" s="1">
        <v>0</v>
      </c>
      <c r="X108" s="1">
        <v>3</v>
      </c>
      <c r="Y108" s="1">
        <f t="shared" si="18"/>
        <v>1</v>
      </c>
      <c r="Z108" s="1">
        <f t="shared" si="19"/>
        <v>0</v>
      </c>
      <c r="AA108" s="1">
        <v>6</v>
      </c>
      <c r="AC108" s="1">
        <v>0</v>
      </c>
      <c r="AD108" s="1">
        <v>0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0</v>
      </c>
      <c r="AK108" s="1">
        <v>0</v>
      </c>
      <c r="AL108" s="1">
        <v>1</v>
      </c>
      <c r="AM108" s="1">
        <v>7</v>
      </c>
      <c r="AO108" s="1">
        <v>1</v>
      </c>
      <c r="AP108" s="1">
        <v>0</v>
      </c>
      <c r="AQ108" s="1">
        <v>0</v>
      </c>
      <c r="AS108" s="1">
        <v>1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1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0.5</v>
      </c>
      <c r="BG108" s="1" t="s">
        <v>224</v>
      </c>
      <c r="BR108" s="1">
        <v>0</v>
      </c>
      <c r="BS108" s="1">
        <v>0</v>
      </c>
      <c r="BT108" s="1">
        <v>0</v>
      </c>
      <c r="BU108" s="1">
        <v>1</v>
      </c>
      <c r="BV108" s="1">
        <v>1</v>
      </c>
      <c r="BW108" s="1">
        <v>1</v>
      </c>
      <c r="BX108" s="1">
        <v>0</v>
      </c>
      <c r="BZ108" s="1">
        <v>1</v>
      </c>
      <c r="CF108" s="1">
        <f t="shared" si="20"/>
        <v>0</v>
      </c>
      <c r="CH108" s="1">
        <v>1</v>
      </c>
      <c r="CO108" s="1">
        <v>400</v>
      </c>
      <c r="CV108" s="1">
        <v>1</v>
      </c>
      <c r="DB108" s="7">
        <f t="shared" si="21"/>
        <v>0.4</v>
      </c>
      <c r="DC108" s="5">
        <f t="shared" si="22"/>
        <v>1</v>
      </c>
      <c r="DE108" s="1">
        <v>3000</v>
      </c>
      <c r="DL108" s="1">
        <v>7</v>
      </c>
      <c r="DR108" s="1">
        <f t="shared" si="23"/>
        <v>7</v>
      </c>
      <c r="DT108" s="1">
        <v>1</v>
      </c>
      <c r="DZ108" s="1">
        <f t="shared" si="24"/>
        <v>1</v>
      </c>
      <c r="ED108" s="1">
        <v>1</v>
      </c>
      <c r="EF108" s="1">
        <f t="shared" si="25"/>
        <v>1</v>
      </c>
      <c r="EH108" s="1">
        <v>0</v>
      </c>
      <c r="EN108" s="1">
        <f t="shared" si="26"/>
        <v>0</v>
      </c>
      <c r="EP108" s="1">
        <v>1</v>
      </c>
      <c r="EV108" s="1">
        <f t="shared" si="27"/>
        <v>1</v>
      </c>
      <c r="EX108" s="1">
        <v>1</v>
      </c>
      <c r="FE108" s="1">
        <v>1</v>
      </c>
      <c r="FK108" s="1">
        <f t="shared" si="28"/>
        <v>1</v>
      </c>
      <c r="FM108" s="1">
        <v>0</v>
      </c>
      <c r="FS108" s="1">
        <f t="shared" si="29"/>
        <v>0</v>
      </c>
      <c r="FU108" s="1">
        <v>0</v>
      </c>
      <c r="GA108" s="1">
        <f t="shared" si="30"/>
        <v>0</v>
      </c>
      <c r="GJ108" s="1">
        <v>0</v>
      </c>
      <c r="GP108" s="1">
        <f t="shared" si="31"/>
        <v>0</v>
      </c>
      <c r="GR108" s="1">
        <v>1000</v>
      </c>
      <c r="GX108" s="1">
        <f t="shared" si="32"/>
        <v>1</v>
      </c>
      <c r="GZ108" s="1">
        <v>1</v>
      </c>
      <c r="HF108" s="1">
        <f t="shared" si="33"/>
        <v>1</v>
      </c>
      <c r="HH108" s="1">
        <v>10</v>
      </c>
      <c r="HN108" s="1">
        <f t="shared" si="34"/>
        <v>10</v>
      </c>
      <c r="HP108" s="1">
        <v>0</v>
      </c>
      <c r="HV108" s="1">
        <f t="shared" si="35"/>
        <v>0</v>
      </c>
      <c r="IK108" s="1">
        <v>0</v>
      </c>
      <c r="IL108" s="1">
        <v>0</v>
      </c>
      <c r="IM108" s="1">
        <v>0</v>
      </c>
      <c r="IN108" s="1">
        <v>40</v>
      </c>
      <c r="IO108" s="1">
        <v>0</v>
      </c>
    </row>
    <row r="109" spans="1:249" x14ac:dyDescent="0.25">
      <c r="A109" s="1">
        <v>108</v>
      </c>
      <c r="B109" s="1" t="s">
        <v>237</v>
      </c>
      <c r="C109" s="1" t="s">
        <v>194</v>
      </c>
      <c r="D109" s="1" t="s">
        <v>295</v>
      </c>
      <c r="E109" s="1" t="s">
        <v>296</v>
      </c>
      <c r="F109" s="1">
        <v>0</v>
      </c>
      <c r="G109" s="1">
        <v>0</v>
      </c>
      <c r="H109" s="1">
        <v>1</v>
      </c>
      <c r="I109" s="1">
        <v>67</v>
      </c>
      <c r="J109" s="1">
        <v>1</v>
      </c>
      <c r="K109" s="1">
        <v>1</v>
      </c>
      <c r="M109" s="1">
        <v>1</v>
      </c>
      <c r="N109" s="1">
        <v>1</v>
      </c>
      <c r="O109" s="1">
        <v>2</v>
      </c>
      <c r="P109" s="1">
        <v>32</v>
      </c>
      <c r="Q109" s="1">
        <v>600</v>
      </c>
      <c r="R109" s="1">
        <v>1</v>
      </c>
      <c r="S109" s="1" t="s">
        <v>197</v>
      </c>
      <c r="T109" s="1">
        <v>1</v>
      </c>
      <c r="U109" s="1">
        <v>600</v>
      </c>
      <c r="V109" s="1">
        <v>0</v>
      </c>
      <c r="X109" s="1">
        <v>3</v>
      </c>
      <c r="Y109" s="1">
        <f t="shared" si="18"/>
        <v>1</v>
      </c>
      <c r="Z109" s="1">
        <f t="shared" si="19"/>
        <v>0</v>
      </c>
      <c r="AA109" s="1">
        <v>8</v>
      </c>
      <c r="AC109" s="1">
        <v>0</v>
      </c>
      <c r="AD109" s="1">
        <v>0</v>
      </c>
      <c r="AE109" s="1">
        <v>1</v>
      </c>
      <c r="AF109" s="1">
        <v>1</v>
      </c>
      <c r="AG109" s="1">
        <v>1</v>
      </c>
      <c r="AH109" s="1">
        <v>1</v>
      </c>
      <c r="AI109" s="1">
        <v>1</v>
      </c>
      <c r="AJ109" s="1">
        <v>0</v>
      </c>
      <c r="AK109" s="1">
        <v>0</v>
      </c>
      <c r="AL109" s="1">
        <v>0</v>
      </c>
      <c r="AM109" s="1">
        <v>0</v>
      </c>
      <c r="AO109" s="1">
        <v>1</v>
      </c>
      <c r="AP109" s="1">
        <v>0</v>
      </c>
      <c r="AQ109" s="1">
        <v>0</v>
      </c>
      <c r="AS109" s="1">
        <v>1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2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1</v>
      </c>
      <c r="BG109" s="1" t="s">
        <v>224</v>
      </c>
      <c r="BR109" s="1">
        <v>0</v>
      </c>
      <c r="BS109" s="1">
        <v>0</v>
      </c>
      <c r="BT109" s="1">
        <v>0</v>
      </c>
      <c r="BU109" s="1">
        <v>1</v>
      </c>
      <c r="BV109" s="1">
        <v>1</v>
      </c>
      <c r="BW109" s="1">
        <v>1</v>
      </c>
      <c r="BX109" s="1">
        <v>0</v>
      </c>
      <c r="BZ109" s="1">
        <v>1</v>
      </c>
      <c r="CF109" s="1">
        <f t="shared" si="20"/>
        <v>0</v>
      </c>
      <c r="CH109" s="1">
        <v>2</v>
      </c>
      <c r="CO109" s="1">
        <v>500</v>
      </c>
      <c r="CV109" s="1">
        <v>2</v>
      </c>
      <c r="DB109" s="7">
        <f t="shared" si="21"/>
        <v>0.25</v>
      </c>
      <c r="DC109" s="5">
        <f t="shared" si="22"/>
        <v>1</v>
      </c>
      <c r="DE109" s="1">
        <v>3000</v>
      </c>
      <c r="DL109" s="1">
        <v>8</v>
      </c>
      <c r="DR109" s="1">
        <f t="shared" si="23"/>
        <v>8</v>
      </c>
      <c r="DT109" s="1">
        <v>1</v>
      </c>
      <c r="DZ109" s="1">
        <f t="shared" si="24"/>
        <v>1</v>
      </c>
      <c r="ED109" s="1">
        <v>1</v>
      </c>
      <c r="EF109" s="1">
        <f t="shared" si="25"/>
        <v>1</v>
      </c>
      <c r="EH109" s="1">
        <v>1</v>
      </c>
      <c r="EN109" s="1">
        <f t="shared" si="26"/>
        <v>1</v>
      </c>
      <c r="EP109" s="1">
        <v>1</v>
      </c>
      <c r="EV109" s="1">
        <f t="shared" si="27"/>
        <v>1</v>
      </c>
      <c r="EX109" s="1">
        <v>1</v>
      </c>
      <c r="FE109" s="1">
        <v>1</v>
      </c>
      <c r="FK109" s="1">
        <f t="shared" si="28"/>
        <v>1</v>
      </c>
      <c r="FM109" s="1">
        <v>0</v>
      </c>
      <c r="FS109" s="1">
        <f t="shared" si="29"/>
        <v>0</v>
      </c>
      <c r="FU109" s="1">
        <v>1</v>
      </c>
      <c r="GA109" s="1">
        <f t="shared" si="30"/>
        <v>1</v>
      </c>
      <c r="GC109" s="1" t="s">
        <v>294</v>
      </c>
      <c r="GJ109" s="1">
        <v>0</v>
      </c>
      <c r="GP109" s="1">
        <f t="shared" si="31"/>
        <v>0</v>
      </c>
      <c r="GR109" s="1">
        <v>1000</v>
      </c>
      <c r="GX109" s="1">
        <f t="shared" si="32"/>
        <v>1</v>
      </c>
      <c r="GZ109" s="1">
        <v>1</v>
      </c>
      <c r="HF109" s="1">
        <f t="shared" si="33"/>
        <v>1</v>
      </c>
      <c r="HH109" s="1">
        <v>10</v>
      </c>
      <c r="HN109" s="1">
        <f t="shared" si="34"/>
        <v>10</v>
      </c>
      <c r="HP109" s="1">
        <v>0</v>
      </c>
      <c r="HV109" s="1">
        <f t="shared" si="35"/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</row>
    <row r="110" spans="1:249" x14ac:dyDescent="0.25">
      <c r="A110" s="1">
        <v>109</v>
      </c>
      <c r="B110" s="1" t="s">
        <v>237</v>
      </c>
      <c r="C110" s="1" t="s">
        <v>194</v>
      </c>
      <c r="D110" s="1" t="s">
        <v>290</v>
      </c>
      <c r="E110" s="1" t="s">
        <v>297</v>
      </c>
      <c r="F110" s="1">
        <v>0</v>
      </c>
      <c r="G110" s="1">
        <v>1</v>
      </c>
      <c r="H110" s="1">
        <v>0</v>
      </c>
      <c r="I110" s="1">
        <v>75</v>
      </c>
      <c r="J110" s="1">
        <v>1</v>
      </c>
      <c r="K110" s="1">
        <v>1</v>
      </c>
      <c r="M110" s="1">
        <v>1</v>
      </c>
      <c r="N110" s="1">
        <v>0</v>
      </c>
      <c r="O110" s="1">
        <v>1</v>
      </c>
      <c r="P110" s="1">
        <v>20</v>
      </c>
      <c r="Q110" s="1">
        <v>900</v>
      </c>
      <c r="R110" s="1">
        <v>1</v>
      </c>
      <c r="S110" s="1" t="s">
        <v>197</v>
      </c>
      <c r="T110" s="1">
        <v>1</v>
      </c>
      <c r="U110" s="1">
        <v>275</v>
      </c>
      <c r="V110" s="1">
        <v>0</v>
      </c>
      <c r="X110" s="1">
        <v>2</v>
      </c>
      <c r="Y110" s="1">
        <f t="shared" si="18"/>
        <v>1</v>
      </c>
      <c r="Z110" s="1">
        <f t="shared" si="19"/>
        <v>0</v>
      </c>
      <c r="AA110" s="1">
        <v>6</v>
      </c>
      <c r="AC110" s="1">
        <v>0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1</v>
      </c>
      <c r="AM110" s="1">
        <v>10</v>
      </c>
      <c r="AO110" s="1">
        <v>1</v>
      </c>
      <c r="AP110" s="1">
        <v>0</v>
      </c>
      <c r="AQ110" s="1">
        <v>0</v>
      </c>
      <c r="AS110" s="1">
        <v>1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2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5</v>
      </c>
      <c r="BG110" s="1" t="s">
        <v>224</v>
      </c>
      <c r="BH110" s="1" t="s">
        <v>210</v>
      </c>
      <c r="BI110" s="1" t="s">
        <v>211</v>
      </c>
      <c r="BR110" s="1">
        <v>0</v>
      </c>
      <c r="BS110" s="1">
        <v>0</v>
      </c>
      <c r="BT110" s="1">
        <v>0</v>
      </c>
      <c r="BU110" s="1">
        <v>1</v>
      </c>
      <c r="BV110" s="1">
        <v>0</v>
      </c>
      <c r="BW110" s="1">
        <v>1</v>
      </c>
      <c r="BX110" s="1">
        <v>1</v>
      </c>
      <c r="BZ110" s="1">
        <v>1</v>
      </c>
      <c r="CF110" s="1">
        <f t="shared" si="20"/>
        <v>0</v>
      </c>
      <c r="CH110" s="1">
        <v>2</v>
      </c>
      <c r="CO110" s="1">
        <v>800</v>
      </c>
      <c r="CV110" s="1">
        <v>1</v>
      </c>
      <c r="DB110" s="7">
        <f t="shared" si="21"/>
        <v>0.8</v>
      </c>
      <c r="DC110" s="5">
        <f t="shared" si="22"/>
        <v>2</v>
      </c>
      <c r="DE110" s="1">
        <v>3000</v>
      </c>
      <c r="DL110" s="1">
        <v>6</v>
      </c>
      <c r="DR110" s="1">
        <f t="shared" si="23"/>
        <v>6</v>
      </c>
      <c r="DZ110" s="1">
        <f t="shared" si="24"/>
        <v>0</v>
      </c>
      <c r="EF110" s="1">
        <f t="shared" si="25"/>
        <v>0</v>
      </c>
      <c r="EH110" s="1">
        <v>0</v>
      </c>
      <c r="EN110" s="1">
        <f t="shared" si="26"/>
        <v>0</v>
      </c>
      <c r="EP110" s="1">
        <v>1</v>
      </c>
      <c r="EV110" s="1">
        <f t="shared" si="27"/>
        <v>1</v>
      </c>
      <c r="EX110" s="1">
        <v>1</v>
      </c>
      <c r="FE110" s="1">
        <v>1</v>
      </c>
      <c r="FK110" s="1">
        <f t="shared" si="28"/>
        <v>1</v>
      </c>
      <c r="FM110" s="1">
        <v>0</v>
      </c>
      <c r="FS110" s="1">
        <f t="shared" si="29"/>
        <v>0</v>
      </c>
      <c r="FU110" s="1">
        <v>0</v>
      </c>
      <c r="GA110" s="1">
        <f t="shared" si="30"/>
        <v>0</v>
      </c>
      <c r="GJ110" s="1">
        <v>0</v>
      </c>
      <c r="GP110" s="1">
        <f t="shared" si="31"/>
        <v>0</v>
      </c>
      <c r="GR110" s="1">
        <v>10000</v>
      </c>
      <c r="GX110" s="1">
        <f t="shared" si="32"/>
        <v>10</v>
      </c>
      <c r="GZ110" s="1">
        <v>0</v>
      </c>
      <c r="HF110" s="1">
        <f t="shared" si="33"/>
        <v>0</v>
      </c>
      <c r="HH110" s="1">
        <v>10</v>
      </c>
      <c r="HN110" s="1">
        <f t="shared" si="34"/>
        <v>10</v>
      </c>
      <c r="HP110" s="1">
        <v>0</v>
      </c>
      <c r="HV110" s="1">
        <f t="shared" si="35"/>
        <v>0</v>
      </c>
      <c r="IK110" s="1">
        <v>0</v>
      </c>
      <c r="IL110" s="1">
        <v>80</v>
      </c>
      <c r="IM110" s="1">
        <v>0</v>
      </c>
      <c r="IN110" s="1">
        <v>80</v>
      </c>
      <c r="IO110" s="1">
        <v>32</v>
      </c>
    </row>
    <row r="111" spans="1:249" x14ac:dyDescent="0.25">
      <c r="A111" s="1">
        <v>110</v>
      </c>
      <c r="B111" s="1" t="s">
        <v>237</v>
      </c>
      <c r="C111" s="1" t="s">
        <v>194</v>
      </c>
      <c r="D111" s="1" t="s">
        <v>290</v>
      </c>
      <c r="E111" s="1" t="s">
        <v>297</v>
      </c>
      <c r="F111" s="1">
        <v>0</v>
      </c>
      <c r="G111" s="1">
        <v>1</v>
      </c>
      <c r="H111" s="1">
        <v>0</v>
      </c>
      <c r="I111" s="1">
        <v>52</v>
      </c>
      <c r="J111" s="1">
        <v>1</v>
      </c>
      <c r="K111" s="1">
        <v>1</v>
      </c>
      <c r="M111" s="1">
        <v>0</v>
      </c>
      <c r="N111" s="1">
        <v>0</v>
      </c>
      <c r="O111" s="1">
        <v>3</v>
      </c>
      <c r="P111" s="1">
        <v>15</v>
      </c>
      <c r="Q111" s="1">
        <v>300</v>
      </c>
      <c r="R111" s="1">
        <v>0</v>
      </c>
      <c r="T111" s="1">
        <v>1</v>
      </c>
      <c r="U111" s="1">
        <v>250</v>
      </c>
      <c r="V111" s="1">
        <v>0</v>
      </c>
      <c r="X111" s="1">
        <v>4</v>
      </c>
      <c r="Y111" s="1">
        <f t="shared" si="18"/>
        <v>0</v>
      </c>
      <c r="Z111" s="1">
        <f t="shared" si="19"/>
        <v>1</v>
      </c>
      <c r="AA111" s="1">
        <v>11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1</v>
      </c>
      <c r="AJ111" s="1">
        <v>0</v>
      </c>
      <c r="AK111" s="1">
        <v>0</v>
      </c>
      <c r="AL111" s="1">
        <v>1</v>
      </c>
      <c r="AM111" s="1">
        <v>5</v>
      </c>
      <c r="AO111" s="1">
        <v>1</v>
      </c>
      <c r="AP111" s="1">
        <v>0</v>
      </c>
      <c r="AQ111" s="1">
        <v>0</v>
      </c>
      <c r="AS111" s="1">
        <v>1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1.5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1.5</v>
      </c>
      <c r="BG111" s="1" t="s">
        <v>224</v>
      </c>
      <c r="BH111" s="1" t="s">
        <v>210</v>
      </c>
      <c r="BI111" s="1" t="s">
        <v>211</v>
      </c>
      <c r="BR111" s="1">
        <v>1</v>
      </c>
      <c r="BS111" s="1">
        <v>0</v>
      </c>
      <c r="BT111" s="1">
        <v>0</v>
      </c>
      <c r="BU111" s="1">
        <v>1</v>
      </c>
      <c r="BV111" s="1">
        <v>1</v>
      </c>
      <c r="BW111" s="1">
        <v>1</v>
      </c>
      <c r="BX111" s="1">
        <v>0</v>
      </c>
      <c r="BZ111" s="1">
        <v>1</v>
      </c>
      <c r="CF111" s="1">
        <f t="shared" si="20"/>
        <v>0</v>
      </c>
      <c r="CH111" s="1">
        <v>1.5</v>
      </c>
      <c r="CO111" s="1">
        <v>800</v>
      </c>
      <c r="CV111" s="1">
        <v>1.5</v>
      </c>
      <c r="DB111" s="7">
        <f t="shared" si="21"/>
        <v>0.53333333333333333</v>
      </c>
      <c r="DC111" s="5">
        <f t="shared" si="22"/>
        <v>1</v>
      </c>
      <c r="DE111" s="1">
        <v>3333</v>
      </c>
      <c r="DL111" s="1">
        <v>5</v>
      </c>
      <c r="DR111" s="1">
        <f t="shared" si="23"/>
        <v>5</v>
      </c>
      <c r="DZ111" s="1">
        <f t="shared" si="24"/>
        <v>0</v>
      </c>
      <c r="EC111" s="1">
        <v>1</v>
      </c>
      <c r="EF111" s="1">
        <f t="shared" si="25"/>
        <v>1</v>
      </c>
      <c r="EH111" s="1">
        <v>0</v>
      </c>
      <c r="EN111" s="1">
        <f t="shared" si="26"/>
        <v>0</v>
      </c>
      <c r="EP111" s="1">
        <v>1</v>
      </c>
      <c r="EV111" s="1">
        <f t="shared" si="27"/>
        <v>1</v>
      </c>
      <c r="EX111" s="1">
        <v>1</v>
      </c>
      <c r="FE111" s="1">
        <v>1</v>
      </c>
      <c r="FK111" s="1">
        <f t="shared" si="28"/>
        <v>1</v>
      </c>
      <c r="FM111" s="1">
        <v>0</v>
      </c>
      <c r="FS111" s="1">
        <f t="shared" si="29"/>
        <v>0</v>
      </c>
      <c r="FU111" s="1">
        <v>0</v>
      </c>
      <c r="GA111" s="1">
        <f t="shared" si="30"/>
        <v>0</v>
      </c>
      <c r="GJ111" s="1">
        <v>0</v>
      </c>
      <c r="GP111" s="1">
        <f t="shared" si="31"/>
        <v>0</v>
      </c>
      <c r="GR111" s="1">
        <v>7000</v>
      </c>
      <c r="GX111" s="1">
        <f t="shared" si="32"/>
        <v>7</v>
      </c>
      <c r="GZ111" s="1">
        <v>1</v>
      </c>
      <c r="HF111" s="1">
        <f t="shared" si="33"/>
        <v>1</v>
      </c>
      <c r="HH111" s="1">
        <v>7.5</v>
      </c>
      <c r="HN111" s="1">
        <f t="shared" si="34"/>
        <v>7.5</v>
      </c>
      <c r="HP111" s="1">
        <v>0</v>
      </c>
      <c r="HV111" s="1">
        <f t="shared" si="35"/>
        <v>0</v>
      </c>
      <c r="IK111" s="1">
        <v>0</v>
      </c>
      <c r="IL111" s="1">
        <v>60</v>
      </c>
      <c r="IM111" s="1">
        <v>12</v>
      </c>
      <c r="IN111" s="1">
        <v>60</v>
      </c>
      <c r="IO111" s="1">
        <v>0</v>
      </c>
    </row>
    <row r="112" spans="1:249" x14ac:dyDescent="0.25">
      <c r="A112" s="1">
        <v>111</v>
      </c>
      <c r="B112" s="1" t="s">
        <v>237</v>
      </c>
      <c r="C112" s="1" t="s">
        <v>194</v>
      </c>
      <c r="D112" s="1" t="s">
        <v>290</v>
      </c>
      <c r="E112" s="1" t="s">
        <v>297</v>
      </c>
      <c r="F112" s="1">
        <v>0</v>
      </c>
      <c r="G112" s="1">
        <v>1</v>
      </c>
      <c r="H112" s="1">
        <v>0</v>
      </c>
      <c r="I112" s="1">
        <v>24</v>
      </c>
      <c r="J112" s="1">
        <v>1</v>
      </c>
      <c r="K112" s="1">
        <v>1</v>
      </c>
      <c r="M112" s="1">
        <v>0</v>
      </c>
      <c r="N112" s="1">
        <v>1</v>
      </c>
      <c r="O112" s="1">
        <v>3</v>
      </c>
      <c r="P112" s="1">
        <v>24</v>
      </c>
      <c r="Q112" s="1">
        <v>400</v>
      </c>
      <c r="R112" s="1">
        <v>0</v>
      </c>
      <c r="T112" s="1">
        <v>1</v>
      </c>
      <c r="U112" s="1">
        <v>175</v>
      </c>
      <c r="V112" s="1">
        <v>0</v>
      </c>
      <c r="X112" s="1">
        <v>6</v>
      </c>
      <c r="Y112" s="1">
        <f t="shared" si="18"/>
        <v>0</v>
      </c>
      <c r="Z112" s="1">
        <f t="shared" si="19"/>
        <v>0</v>
      </c>
      <c r="AA112" s="1">
        <v>14</v>
      </c>
      <c r="AC112" s="1">
        <v>1</v>
      </c>
      <c r="AD112" s="1">
        <v>0</v>
      </c>
      <c r="AE112" s="1">
        <v>1</v>
      </c>
      <c r="AF112" s="1">
        <v>1</v>
      </c>
      <c r="AG112" s="1">
        <v>1</v>
      </c>
      <c r="AH112" s="1">
        <v>1</v>
      </c>
      <c r="AI112" s="1">
        <v>1</v>
      </c>
      <c r="AJ112" s="1">
        <v>0</v>
      </c>
      <c r="AK112" s="1">
        <v>1</v>
      </c>
      <c r="AL112" s="1">
        <v>1</v>
      </c>
      <c r="AM112" s="1">
        <v>14</v>
      </c>
      <c r="AO112" s="1">
        <v>1</v>
      </c>
      <c r="AP112" s="1">
        <v>0</v>
      </c>
      <c r="AQ112" s="1">
        <v>1</v>
      </c>
      <c r="AS112" s="1">
        <v>1</v>
      </c>
      <c r="AT112" s="1">
        <v>0</v>
      </c>
      <c r="AU112" s="1">
        <v>0</v>
      </c>
      <c r="AV112" s="1">
        <v>0</v>
      </c>
      <c r="AW112" s="1">
        <v>1</v>
      </c>
      <c r="AX112" s="1">
        <v>0</v>
      </c>
      <c r="AY112" s="1">
        <v>3</v>
      </c>
      <c r="AZ112" s="1">
        <v>0</v>
      </c>
      <c r="BA112" s="1">
        <v>0</v>
      </c>
      <c r="BB112" s="1">
        <v>0</v>
      </c>
      <c r="BC112" s="1">
        <v>1</v>
      </c>
      <c r="BD112" s="1">
        <v>0</v>
      </c>
      <c r="BE112" s="1">
        <v>6</v>
      </c>
      <c r="BG112" s="1" t="s">
        <v>224</v>
      </c>
      <c r="BH112" s="1" t="s">
        <v>210</v>
      </c>
      <c r="BI112" s="1" t="s">
        <v>260</v>
      </c>
      <c r="BR112" s="1">
        <v>1</v>
      </c>
      <c r="BS112" s="1">
        <v>0</v>
      </c>
      <c r="BT112" s="1">
        <v>0</v>
      </c>
      <c r="BU112" s="1">
        <v>1</v>
      </c>
      <c r="BV112" s="1">
        <v>0</v>
      </c>
      <c r="BW112" s="1">
        <v>1</v>
      </c>
      <c r="BX112" s="1">
        <v>0</v>
      </c>
      <c r="BZ112" s="1">
        <v>1</v>
      </c>
      <c r="CB112" s="1">
        <v>1</v>
      </c>
      <c r="CF112" s="1">
        <f t="shared" si="20"/>
        <v>1</v>
      </c>
      <c r="CH112" s="1">
        <v>2</v>
      </c>
      <c r="CJ112" s="1">
        <v>1</v>
      </c>
      <c r="CO112" s="1">
        <v>1500</v>
      </c>
      <c r="CQ112" s="1">
        <v>700</v>
      </c>
      <c r="CV112" s="1">
        <v>2</v>
      </c>
      <c r="CX112" s="1">
        <v>1</v>
      </c>
      <c r="DB112" s="7">
        <f t="shared" si="21"/>
        <v>0.73333333333333339</v>
      </c>
      <c r="DC112" s="5">
        <f t="shared" si="22"/>
        <v>2</v>
      </c>
      <c r="DE112" s="1">
        <v>3333</v>
      </c>
      <c r="DG112" s="1">
        <v>3000</v>
      </c>
      <c r="DL112" s="1">
        <v>5</v>
      </c>
      <c r="DN112" s="1">
        <v>5</v>
      </c>
      <c r="DR112" s="1">
        <f t="shared" si="23"/>
        <v>5</v>
      </c>
      <c r="DZ112" s="1">
        <f t="shared" si="24"/>
        <v>0</v>
      </c>
      <c r="EC112" s="1">
        <v>1</v>
      </c>
      <c r="EF112" s="1">
        <f t="shared" si="25"/>
        <v>1</v>
      </c>
      <c r="EH112" s="1">
        <v>1</v>
      </c>
      <c r="EJ112" s="1">
        <v>1</v>
      </c>
      <c r="EN112" s="1">
        <f t="shared" si="26"/>
        <v>1</v>
      </c>
      <c r="EP112" s="1">
        <v>1</v>
      </c>
      <c r="ER112" s="1">
        <v>1</v>
      </c>
      <c r="EV112" s="1">
        <f t="shared" si="27"/>
        <v>1</v>
      </c>
      <c r="EX112" s="1">
        <v>0</v>
      </c>
      <c r="EZ112" s="1">
        <v>0</v>
      </c>
      <c r="FE112" s="1">
        <v>1</v>
      </c>
      <c r="FG112" s="1">
        <v>1</v>
      </c>
      <c r="FK112" s="1">
        <f t="shared" si="28"/>
        <v>1</v>
      </c>
      <c r="FM112" s="1">
        <v>1</v>
      </c>
      <c r="FO112" s="1">
        <v>1</v>
      </c>
      <c r="FS112" s="1">
        <f t="shared" si="29"/>
        <v>1</v>
      </c>
      <c r="FU112" s="1">
        <v>0</v>
      </c>
      <c r="FW112" s="1">
        <v>0</v>
      </c>
      <c r="GA112" s="1">
        <f t="shared" si="30"/>
        <v>0</v>
      </c>
      <c r="GJ112" s="1">
        <v>0</v>
      </c>
      <c r="GL112" s="1">
        <v>0</v>
      </c>
      <c r="GP112" s="1">
        <f t="shared" si="31"/>
        <v>0</v>
      </c>
      <c r="GR112" s="1">
        <v>20000</v>
      </c>
      <c r="GT112" s="1">
        <v>10000</v>
      </c>
      <c r="GX112" s="1">
        <f t="shared" si="32"/>
        <v>30</v>
      </c>
      <c r="GZ112" s="1">
        <v>1</v>
      </c>
      <c r="HB112" s="1">
        <v>1</v>
      </c>
      <c r="HF112" s="1">
        <f t="shared" si="33"/>
        <v>1</v>
      </c>
      <c r="HH112" s="1">
        <v>11</v>
      </c>
      <c r="HJ112" s="1">
        <v>11</v>
      </c>
      <c r="HN112" s="1">
        <f t="shared" si="34"/>
        <v>11</v>
      </c>
      <c r="HP112" s="1">
        <v>0</v>
      </c>
      <c r="HR112" s="1">
        <v>0</v>
      </c>
      <c r="HV112" s="1">
        <f t="shared" si="35"/>
        <v>0</v>
      </c>
      <c r="IK112" s="1">
        <v>0</v>
      </c>
      <c r="IL112" s="1">
        <v>120</v>
      </c>
      <c r="IM112" s="1">
        <v>24</v>
      </c>
      <c r="IN112" s="1">
        <v>120</v>
      </c>
      <c r="IO112" s="1">
        <v>0</v>
      </c>
    </row>
    <row r="113" spans="1:249" x14ac:dyDescent="0.25">
      <c r="A113" s="1">
        <v>112</v>
      </c>
      <c r="B113" s="1" t="s">
        <v>237</v>
      </c>
      <c r="C113" s="1" t="s">
        <v>194</v>
      </c>
      <c r="D113" s="1" t="s">
        <v>295</v>
      </c>
      <c r="E113" s="1" t="s">
        <v>298</v>
      </c>
      <c r="F113" s="1">
        <v>1</v>
      </c>
      <c r="G113" s="1">
        <v>0</v>
      </c>
      <c r="H113" s="1">
        <v>0</v>
      </c>
      <c r="I113" s="1">
        <v>40</v>
      </c>
      <c r="J113" s="1">
        <v>1</v>
      </c>
      <c r="K113" s="1">
        <v>1</v>
      </c>
      <c r="M113" s="1">
        <v>1</v>
      </c>
      <c r="N113" s="1">
        <v>1</v>
      </c>
      <c r="O113" s="1">
        <v>3</v>
      </c>
      <c r="P113" s="1">
        <v>18</v>
      </c>
      <c r="Q113" s="1">
        <v>400</v>
      </c>
      <c r="R113" s="1">
        <v>0</v>
      </c>
      <c r="T113" s="1">
        <v>1</v>
      </c>
      <c r="U113" s="1">
        <v>300</v>
      </c>
      <c r="V113" s="1">
        <v>0</v>
      </c>
      <c r="X113" s="1">
        <v>3</v>
      </c>
      <c r="Y113" s="1">
        <f t="shared" si="18"/>
        <v>1</v>
      </c>
      <c r="Z113" s="1">
        <f t="shared" si="19"/>
        <v>0</v>
      </c>
      <c r="AA113" s="1">
        <v>7</v>
      </c>
      <c r="AC113" s="1">
        <v>0</v>
      </c>
      <c r="AD113" s="1">
        <v>0</v>
      </c>
      <c r="AE113" s="1">
        <v>1</v>
      </c>
      <c r="AF113" s="1">
        <v>0</v>
      </c>
      <c r="AG113" s="1">
        <v>1</v>
      </c>
      <c r="AH113" s="1">
        <v>1</v>
      </c>
      <c r="AI113" s="1">
        <v>1</v>
      </c>
      <c r="AJ113" s="1">
        <v>0</v>
      </c>
      <c r="AK113" s="1">
        <v>0</v>
      </c>
      <c r="AL113" s="1">
        <v>1</v>
      </c>
      <c r="AM113" s="1">
        <v>7</v>
      </c>
      <c r="AO113" s="1">
        <v>1</v>
      </c>
      <c r="AP113" s="1">
        <v>0</v>
      </c>
      <c r="AQ113" s="1">
        <v>0</v>
      </c>
      <c r="AS113" s="1">
        <v>1</v>
      </c>
      <c r="AT113" s="1">
        <v>1</v>
      </c>
      <c r="AU113" s="1">
        <v>0</v>
      </c>
      <c r="AV113" s="1">
        <v>0</v>
      </c>
      <c r="AW113" s="1">
        <v>0</v>
      </c>
      <c r="AX113" s="1">
        <v>0</v>
      </c>
      <c r="AY113" s="1">
        <v>1.5</v>
      </c>
      <c r="AZ113" s="1">
        <v>0.5</v>
      </c>
      <c r="BA113" s="1">
        <v>0</v>
      </c>
      <c r="BB113" s="1">
        <v>0</v>
      </c>
      <c r="BC113" s="1">
        <v>0</v>
      </c>
      <c r="BD113" s="1">
        <v>0</v>
      </c>
      <c r="BE113" s="1">
        <v>1</v>
      </c>
      <c r="BG113" s="1" t="s">
        <v>224</v>
      </c>
      <c r="BH113" s="1" t="s">
        <v>211</v>
      </c>
      <c r="BR113" s="1">
        <v>1</v>
      </c>
      <c r="BS113" s="1">
        <v>0</v>
      </c>
      <c r="BT113" s="1">
        <v>0</v>
      </c>
      <c r="BU113" s="1">
        <v>1</v>
      </c>
      <c r="BV113" s="1">
        <v>0</v>
      </c>
      <c r="BW113" s="1">
        <v>1</v>
      </c>
      <c r="BX113" s="1">
        <v>0</v>
      </c>
      <c r="BZ113" s="1">
        <v>1</v>
      </c>
      <c r="CF113" s="1">
        <f t="shared" si="20"/>
        <v>0</v>
      </c>
      <c r="CH113" s="1">
        <v>1.5</v>
      </c>
      <c r="CO113" s="1">
        <v>1200</v>
      </c>
      <c r="CV113" s="1">
        <v>1.5</v>
      </c>
      <c r="DB113" s="7">
        <f t="shared" si="21"/>
        <v>0.8</v>
      </c>
      <c r="DC113" s="5">
        <f t="shared" si="22"/>
        <v>2</v>
      </c>
      <c r="DE113" s="1">
        <v>3333</v>
      </c>
      <c r="DL113" s="1">
        <v>7</v>
      </c>
      <c r="DR113" s="1">
        <f t="shared" si="23"/>
        <v>7</v>
      </c>
      <c r="DZ113" s="1">
        <f t="shared" si="24"/>
        <v>0</v>
      </c>
      <c r="EF113" s="1">
        <f t="shared" si="25"/>
        <v>0</v>
      </c>
      <c r="EH113" s="1">
        <v>0</v>
      </c>
      <c r="EN113" s="1">
        <f t="shared" si="26"/>
        <v>0</v>
      </c>
      <c r="EP113" s="1">
        <v>1</v>
      </c>
      <c r="EV113" s="1">
        <f t="shared" si="27"/>
        <v>1</v>
      </c>
      <c r="EX113" s="1">
        <v>1</v>
      </c>
      <c r="FE113" s="1">
        <v>1</v>
      </c>
      <c r="FK113" s="1">
        <f t="shared" si="28"/>
        <v>1</v>
      </c>
      <c r="FM113" s="1">
        <v>0</v>
      </c>
      <c r="FS113" s="1">
        <f t="shared" si="29"/>
        <v>0</v>
      </c>
      <c r="FU113" s="1">
        <v>0</v>
      </c>
      <c r="GA113" s="1">
        <f t="shared" si="30"/>
        <v>0</v>
      </c>
      <c r="GJ113" s="1">
        <v>0</v>
      </c>
      <c r="GP113" s="1">
        <f t="shared" si="31"/>
        <v>0</v>
      </c>
      <c r="GR113" s="1">
        <v>8000</v>
      </c>
      <c r="GX113" s="1">
        <f t="shared" si="32"/>
        <v>8</v>
      </c>
      <c r="GZ113" s="1">
        <v>1</v>
      </c>
      <c r="HF113" s="1">
        <f t="shared" si="33"/>
        <v>1</v>
      </c>
      <c r="HH113" s="1">
        <v>10</v>
      </c>
      <c r="HN113" s="1">
        <f t="shared" si="34"/>
        <v>10</v>
      </c>
      <c r="HP113" s="1">
        <v>0</v>
      </c>
      <c r="HV113" s="1">
        <f t="shared" si="35"/>
        <v>0</v>
      </c>
      <c r="IK113" s="1">
        <v>0</v>
      </c>
      <c r="IL113" s="1">
        <v>0</v>
      </c>
      <c r="IM113" s="1">
        <v>0</v>
      </c>
      <c r="IN113" s="1">
        <v>60</v>
      </c>
      <c r="IO113" s="1">
        <v>0</v>
      </c>
    </row>
    <row r="114" spans="1:249" x14ac:dyDescent="0.25">
      <c r="A114" s="1">
        <v>113</v>
      </c>
      <c r="B114" s="1" t="s">
        <v>237</v>
      </c>
      <c r="C114" s="1" t="s">
        <v>194</v>
      </c>
      <c r="D114" s="1" t="s">
        <v>295</v>
      </c>
      <c r="E114" s="1" t="s">
        <v>298</v>
      </c>
      <c r="F114" s="1">
        <v>1</v>
      </c>
      <c r="G114" s="1">
        <v>0</v>
      </c>
      <c r="H114" s="1">
        <v>0</v>
      </c>
      <c r="I114" s="1">
        <v>29</v>
      </c>
      <c r="J114" s="1">
        <v>1</v>
      </c>
      <c r="K114" s="1">
        <v>1</v>
      </c>
      <c r="M114" s="1">
        <v>1</v>
      </c>
      <c r="N114" s="1">
        <v>1</v>
      </c>
      <c r="O114" s="1">
        <v>2</v>
      </c>
      <c r="P114" s="1">
        <v>29</v>
      </c>
      <c r="Q114" s="1">
        <v>500</v>
      </c>
      <c r="R114" s="1">
        <v>0</v>
      </c>
      <c r="T114" s="1">
        <v>1</v>
      </c>
      <c r="U114" s="1">
        <v>100</v>
      </c>
      <c r="V114" s="1">
        <v>0</v>
      </c>
      <c r="X114" s="1">
        <v>3</v>
      </c>
      <c r="Y114" s="1">
        <f t="shared" si="18"/>
        <v>1</v>
      </c>
      <c r="Z114" s="1">
        <f t="shared" si="19"/>
        <v>0</v>
      </c>
      <c r="AA114" s="1">
        <v>6</v>
      </c>
      <c r="AC114" s="1">
        <v>0</v>
      </c>
      <c r="AD114" s="1">
        <v>0</v>
      </c>
      <c r="AE114" s="1">
        <v>1</v>
      </c>
      <c r="AF114" s="1">
        <v>0</v>
      </c>
      <c r="AG114" s="1">
        <v>1</v>
      </c>
      <c r="AH114" s="1">
        <v>1</v>
      </c>
      <c r="AI114" s="1">
        <v>0</v>
      </c>
      <c r="AJ114" s="1">
        <v>0</v>
      </c>
      <c r="AK114" s="1">
        <v>1</v>
      </c>
      <c r="AL114" s="1">
        <v>1</v>
      </c>
      <c r="AM114" s="1">
        <v>10</v>
      </c>
      <c r="AO114" s="1">
        <v>1</v>
      </c>
      <c r="AP114" s="1">
        <v>0</v>
      </c>
      <c r="AQ114" s="1">
        <v>0</v>
      </c>
      <c r="AS114" s="1">
        <v>1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3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1</v>
      </c>
      <c r="BG114" s="1" t="s">
        <v>224</v>
      </c>
      <c r="BR114" s="1">
        <v>0</v>
      </c>
      <c r="BS114" s="1">
        <v>0</v>
      </c>
      <c r="BT114" s="1">
        <v>0</v>
      </c>
      <c r="BU114" s="1">
        <v>1</v>
      </c>
      <c r="BV114" s="1">
        <v>0</v>
      </c>
      <c r="BW114" s="1">
        <v>1</v>
      </c>
      <c r="BX114" s="1">
        <v>0</v>
      </c>
      <c r="CC114" s="1">
        <v>1</v>
      </c>
      <c r="CF114" s="1">
        <f t="shared" si="20"/>
        <v>0</v>
      </c>
      <c r="CK114" s="1">
        <v>3</v>
      </c>
      <c r="CR114" s="1">
        <v>3000</v>
      </c>
      <c r="CY114" s="1">
        <v>3</v>
      </c>
      <c r="DB114" s="7">
        <f t="shared" si="21"/>
        <v>1</v>
      </c>
      <c r="DC114" s="5">
        <f t="shared" si="22"/>
        <v>3</v>
      </c>
      <c r="DH114" s="1">
        <v>3333</v>
      </c>
      <c r="DL114" s="1">
        <v>0</v>
      </c>
      <c r="DO114" s="1">
        <v>4</v>
      </c>
      <c r="DR114" s="1">
        <f t="shared" si="23"/>
        <v>4</v>
      </c>
      <c r="DZ114" s="1">
        <f t="shared" si="24"/>
        <v>0</v>
      </c>
      <c r="EF114" s="1">
        <f t="shared" si="25"/>
        <v>0</v>
      </c>
      <c r="EK114" s="1">
        <v>0</v>
      </c>
      <c r="EN114" s="1">
        <f t="shared" si="26"/>
        <v>0</v>
      </c>
      <c r="ES114" s="1">
        <v>1</v>
      </c>
      <c r="EV114" s="1">
        <f t="shared" si="27"/>
        <v>1</v>
      </c>
      <c r="FA114" s="1">
        <v>1</v>
      </c>
      <c r="FH114" s="1">
        <v>1</v>
      </c>
      <c r="FK114" s="1">
        <f t="shared" si="28"/>
        <v>1</v>
      </c>
      <c r="FP114" s="1">
        <v>0</v>
      </c>
      <c r="FS114" s="1">
        <f t="shared" si="29"/>
        <v>0</v>
      </c>
      <c r="FX114" s="1">
        <v>0</v>
      </c>
      <c r="GA114" s="1">
        <f t="shared" si="30"/>
        <v>0</v>
      </c>
      <c r="GM114" s="1">
        <v>12000</v>
      </c>
      <c r="GP114" s="1">
        <f t="shared" si="31"/>
        <v>12000</v>
      </c>
      <c r="GU114" s="1">
        <v>2000</v>
      </c>
      <c r="GX114" s="1">
        <f t="shared" si="32"/>
        <v>2</v>
      </c>
      <c r="HC114" s="1">
        <v>1</v>
      </c>
      <c r="HF114" s="1">
        <f t="shared" si="33"/>
        <v>1</v>
      </c>
      <c r="HK114" s="1">
        <v>10</v>
      </c>
      <c r="HN114" s="1">
        <f t="shared" si="34"/>
        <v>10</v>
      </c>
      <c r="HS114" s="1">
        <v>0</v>
      </c>
      <c r="HV114" s="1">
        <f t="shared" si="35"/>
        <v>0</v>
      </c>
      <c r="IA114" s="1" t="s">
        <v>284</v>
      </c>
      <c r="IH114" s="1">
        <v>0</v>
      </c>
      <c r="IK114" s="1">
        <v>0</v>
      </c>
      <c r="IL114" s="1">
        <v>96</v>
      </c>
      <c r="IM114" s="1">
        <v>0</v>
      </c>
      <c r="IN114" s="1">
        <v>120</v>
      </c>
      <c r="IO114" s="1">
        <v>0</v>
      </c>
    </row>
    <row r="115" spans="1:249" x14ac:dyDescent="0.25">
      <c r="A115" s="1">
        <v>114</v>
      </c>
      <c r="B115" s="1" t="s">
        <v>237</v>
      </c>
      <c r="C115" s="1" t="s">
        <v>194</v>
      </c>
      <c r="D115" s="1" t="s">
        <v>295</v>
      </c>
      <c r="E115" s="1" t="s">
        <v>299</v>
      </c>
      <c r="F115" s="1">
        <v>0</v>
      </c>
      <c r="G115" s="1">
        <v>1</v>
      </c>
      <c r="H115" s="1">
        <v>0</v>
      </c>
      <c r="I115" s="1">
        <v>56</v>
      </c>
      <c r="J115" s="1">
        <v>1</v>
      </c>
      <c r="K115" s="1">
        <v>1</v>
      </c>
      <c r="M115" s="1">
        <v>1</v>
      </c>
      <c r="N115" s="1">
        <v>0</v>
      </c>
      <c r="O115" s="1">
        <v>4</v>
      </c>
      <c r="P115" s="1">
        <v>40</v>
      </c>
      <c r="Q115" s="1">
        <v>150</v>
      </c>
      <c r="R115" s="1">
        <v>1</v>
      </c>
      <c r="S115" s="1" t="s">
        <v>220</v>
      </c>
      <c r="T115" s="1">
        <v>1</v>
      </c>
      <c r="U115" s="1">
        <v>200</v>
      </c>
      <c r="V115" s="1">
        <v>0</v>
      </c>
      <c r="X115" s="1">
        <v>3</v>
      </c>
      <c r="Y115" s="1">
        <f t="shared" si="18"/>
        <v>1</v>
      </c>
      <c r="Z115" s="1">
        <f t="shared" si="19"/>
        <v>0</v>
      </c>
      <c r="AA115" s="1">
        <v>6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H115" s="1">
        <v>1</v>
      </c>
      <c r="AI115" s="1">
        <v>1</v>
      </c>
      <c r="AJ115" s="1">
        <v>0</v>
      </c>
      <c r="AK115" s="1">
        <v>1</v>
      </c>
      <c r="AL115" s="1">
        <v>1</v>
      </c>
      <c r="AM115" s="1">
        <v>9</v>
      </c>
      <c r="AO115" s="1">
        <v>1</v>
      </c>
      <c r="AP115" s="1">
        <v>0</v>
      </c>
      <c r="AQ115" s="1">
        <v>0</v>
      </c>
      <c r="AS115" s="1">
        <v>1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1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4</v>
      </c>
      <c r="BG115" s="1" t="s">
        <v>224</v>
      </c>
      <c r="BH115" s="1" t="s">
        <v>210</v>
      </c>
      <c r="BI115" s="1" t="s">
        <v>230</v>
      </c>
      <c r="BR115" s="1">
        <v>1</v>
      </c>
      <c r="BS115" s="1">
        <v>0</v>
      </c>
      <c r="BT115" s="1">
        <v>0</v>
      </c>
      <c r="BU115" s="1">
        <v>1</v>
      </c>
      <c r="BV115" s="1">
        <v>0</v>
      </c>
      <c r="BW115" s="1">
        <v>1</v>
      </c>
      <c r="BX115" s="1">
        <v>1</v>
      </c>
      <c r="BZ115" s="1">
        <v>1</v>
      </c>
      <c r="CF115" s="1">
        <f t="shared" si="20"/>
        <v>0</v>
      </c>
      <c r="CH115" s="1">
        <v>1</v>
      </c>
      <c r="CO115" s="1">
        <v>500</v>
      </c>
      <c r="CV115" s="1">
        <v>1</v>
      </c>
      <c r="DB115" s="7">
        <f t="shared" si="21"/>
        <v>0.5</v>
      </c>
      <c r="DC115" s="5">
        <f t="shared" si="22"/>
        <v>1</v>
      </c>
      <c r="DE115" s="1">
        <v>3000</v>
      </c>
      <c r="DL115" s="1">
        <v>9</v>
      </c>
      <c r="DR115" s="1">
        <f t="shared" si="23"/>
        <v>9</v>
      </c>
      <c r="DT115" s="1">
        <v>1</v>
      </c>
      <c r="DZ115" s="1">
        <f t="shared" si="24"/>
        <v>1</v>
      </c>
      <c r="EC115" s="1">
        <v>1</v>
      </c>
      <c r="EF115" s="1">
        <f t="shared" si="25"/>
        <v>1</v>
      </c>
      <c r="EH115" s="1">
        <v>1</v>
      </c>
      <c r="EN115" s="1">
        <f t="shared" si="26"/>
        <v>1</v>
      </c>
      <c r="EP115" s="1">
        <v>1</v>
      </c>
      <c r="EV115" s="1">
        <f t="shared" si="27"/>
        <v>1</v>
      </c>
      <c r="EX115" s="1">
        <v>1</v>
      </c>
      <c r="FE115" s="1">
        <v>1</v>
      </c>
      <c r="FK115" s="1">
        <f t="shared" si="28"/>
        <v>1</v>
      </c>
      <c r="FM115" s="1">
        <v>0</v>
      </c>
      <c r="FS115" s="1">
        <f t="shared" si="29"/>
        <v>0</v>
      </c>
      <c r="FU115" s="1">
        <v>0</v>
      </c>
      <c r="GA115" s="1">
        <f t="shared" si="30"/>
        <v>0</v>
      </c>
      <c r="GJ115" s="1">
        <v>0</v>
      </c>
      <c r="GP115" s="1">
        <f t="shared" si="31"/>
        <v>0</v>
      </c>
      <c r="GR115" s="1">
        <v>7000</v>
      </c>
      <c r="GX115" s="1">
        <f t="shared" si="32"/>
        <v>7</v>
      </c>
      <c r="GZ115" s="1">
        <v>1</v>
      </c>
      <c r="HF115" s="1">
        <f t="shared" si="33"/>
        <v>1</v>
      </c>
      <c r="HH115" s="1">
        <v>10.5</v>
      </c>
      <c r="HN115" s="1">
        <f t="shared" si="34"/>
        <v>10.5</v>
      </c>
      <c r="HP115" s="1">
        <v>0</v>
      </c>
      <c r="HV115" s="1">
        <f t="shared" si="35"/>
        <v>0</v>
      </c>
      <c r="IK115" s="1">
        <v>0</v>
      </c>
      <c r="IL115" s="1">
        <v>16</v>
      </c>
      <c r="IM115" s="1">
        <v>0</v>
      </c>
      <c r="IN115" s="1">
        <v>24</v>
      </c>
      <c r="IO115" s="1">
        <v>16</v>
      </c>
    </row>
    <row r="116" spans="1:249" x14ac:dyDescent="0.25">
      <c r="A116" s="1">
        <v>115</v>
      </c>
      <c r="B116" s="1" t="s">
        <v>237</v>
      </c>
      <c r="C116" s="1" t="s">
        <v>194</v>
      </c>
      <c r="D116" s="1" t="s">
        <v>290</v>
      </c>
      <c r="E116" s="1" t="s">
        <v>297</v>
      </c>
      <c r="F116" s="1">
        <v>0</v>
      </c>
      <c r="G116" s="1">
        <v>1</v>
      </c>
      <c r="H116" s="1">
        <v>0</v>
      </c>
      <c r="I116" s="1">
        <v>66</v>
      </c>
      <c r="J116" s="1">
        <v>1</v>
      </c>
      <c r="K116" s="1">
        <v>1</v>
      </c>
      <c r="M116" s="1">
        <v>1</v>
      </c>
      <c r="N116" s="1">
        <v>1</v>
      </c>
      <c r="O116" s="1">
        <v>2</v>
      </c>
      <c r="P116" s="1">
        <v>13</v>
      </c>
      <c r="Q116" s="1">
        <v>300</v>
      </c>
      <c r="R116" s="1">
        <v>1</v>
      </c>
      <c r="S116" s="1" t="s">
        <v>257</v>
      </c>
      <c r="T116" s="1">
        <v>1</v>
      </c>
      <c r="U116" s="1">
        <v>275</v>
      </c>
      <c r="V116" s="1">
        <v>0</v>
      </c>
      <c r="X116" s="1">
        <v>2</v>
      </c>
      <c r="Y116" s="1">
        <f t="shared" si="18"/>
        <v>1</v>
      </c>
      <c r="Z116" s="1">
        <f t="shared" si="19"/>
        <v>0</v>
      </c>
      <c r="AA116" s="1">
        <v>4</v>
      </c>
      <c r="AC116" s="1">
        <v>1</v>
      </c>
      <c r="AD116" s="1">
        <v>0</v>
      </c>
      <c r="AE116" s="1">
        <v>1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1</v>
      </c>
      <c r="AM116" s="1">
        <v>12</v>
      </c>
      <c r="AO116" s="1">
        <v>1</v>
      </c>
      <c r="AP116" s="1">
        <v>0</v>
      </c>
      <c r="AQ116" s="1">
        <v>1</v>
      </c>
      <c r="AS116" s="1">
        <v>1</v>
      </c>
      <c r="AT116" s="1">
        <v>0</v>
      </c>
      <c r="AU116" s="1">
        <v>0</v>
      </c>
      <c r="AV116" s="1">
        <v>0</v>
      </c>
      <c r="AW116" s="1">
        <v>1</v>
      </c>
      <c r="AX116" s="1">
        <v>0</v>
      </c>
      <c r="AY116" s="1">
        <v>2</v>
      </c>
      <c r="AZ116" s="1">
        <v>0</v>
      </c>
      <c r="BA116" s="1">
        <v>0</v>
      </c>
      <c r="BB116" s="1">
        <v>0</v>
      </c>
      <c r="BC116" s="1">
        <v>1</v>
      </c>
      <c r="BD116" s="1">
        <v>0</v>
      </c>
      <c r="BE116" s="1">
        <v>0.75</v>
      </c>
      <c r="BG116" s="1" t="s">
        <v>224</v>
      </c>
      <c r="BH116" s="1" t="s">
        <v>210</v>
      </c>
      <c r="BR116" s="1">
        <v>1</v>
      </c>
      <c r="BS116" s="1">
        <v>0</v>
      </c>
      <c r="BT116" s="1">
        <v>0</v>
      </c>
      <c r="BU116" s="1">
        <v>1</v>
      </c>
      <c r="BV116" s="1">
        <v>1</v>
      </c>
      <c r="BW116" s="1">
        <v>1</v>
      </c>
      <c r="BX116" s="1">
        <v>0</v>
      </c>
      <c r="BZ116" s="1">
        <v>1</v>
      </c>
      <c r="CF116" s="1">
        <f t="shared" si="20"/>
        <v>0</v>
      </c>
      <c r="CH116" s="1">
        <v>2</v>
      </c>
      <c r="CO116" s="1">
        <v>1500</v>
      </c>
      <c r="CV116" s="1">
        <v>2</v>
      </c>
      <c r="DB116" s="7">
        <f t="shared" si="21"/>
        <v>0.75</v>
      </c>
      <c r="DC116" s="5">
        <f t="shared" si="22"/>
        <v>2</v>
      </c>
      <c r="DE116" s="1">
        <v>3000</v>
      </c>
      <c r="DL116" s="1">
        <v>12</v>
      </c>
      <c r="DR116" s="1">
        <f t="shared" si="23"/>
        <v>12</v>
      </c>
      <c r="DT116" s="1">
        <v>1</v>
      </c>
      <c r="DZ116" s="1">
        <f t="shared" si="24"/>
        <v>1</v>
      </c>
      <c r="EF116" s="1">
        <f t="shared" si="25"/>
        <v>0</v>
      </c>
      <c r="EH116" s="1">
        <v>0</v>
      </c>
      <c r="EN116" s="1">
        <f t="shared" si="26"/>
        <v>0</v>
      </c>
      <c r="EP116" s="1">
        <v>1</v>
      </c>
      <c r="EV116" s="1">
        <f t="shared" si="27"/>
        <v>1</v>
      </c>
      <c r="EX116" s="1">
        <v>1</v>
      </c>
      <c r="FE116" s="1">
        <v>1</v>
      </c>
      <c r="FK116" s="1">
        <f t="shared" si="28"/>
        <v>1</v>
      </c>
      <c r="FM116" s="1">
        <v>0</v>
      </c>
      <c r="FS116" s="1">
        <f t="shared" si="29"/>
        <v>0</v>
      </c>
      <c r="FU116" s="1">
        <v>0</v>
      </c>
      <c r="GA116" s="1">
        <f t="shared" si="30"/>
        <v>0</v>
      </c>
      <c r="GJ116" s="1">
        <v>0</v>
      </c>
      <c r="GP116" s="1">
        <f t="shared" si="31"/>
        <v>0</v>
      </c>
      <c r="GR116" s="1">
        <v>10000</v>
      </c>
      <c r="GX116" s="1">
        <f t="shared" si="32"/>
        <v>10</v>
      </c>
      <c r="GZ116" s="1">
        <v>1</v>
      </c>
      <c r="HF116" s="1">
        <f t="shared" si="33"/>
        <v>1</v>
      </c>
      <c r="HH116" s="1">
        <v>10</v>
      </c>
      <c r="HN116" s="1">
        <f t="shared" si="34"/>
        <v>10</v>
      </c>
      <c r="HV116" s="1">
        <f t="shared" si="35"/>
        <v>0</v>
      </c>
      <c r="IK116" s="1">
        <v>0</v>
      </c>
      <c r="IL116" s="1">
        <v>80</v>
      </c>
      <c r="IM116" s="1">
        <v>16</v>
      </c>
      <c r="IN116" s="1">
        <v>80</v>
      </c>
      <c r="IO116" s="1">
        <v>0</v>
      </c>
    </row>
    <row r="117" spans="1:249" x14ac:dyDescent="0.25">
      <c r="A117" s="1">
        <v>116</v>
      </c>
      <c r="B117" s="1" t="s">
        <v>237</v>
      </c>
      <c r="C117" s="1" t="s">
        <v>194</v>
      </c>
      <c r="D117" s="1" t="s">
        <v>295</v>
      </c>
      <c r="E117" s="1" t="s">
        <v>300</v>
      </c>
      <c r="F117" s="1">
        <v>0</v>
      </c>
      <c r="G117" s="1">
        <v>1</v>
      </c>
      <c r="H117" s="1">
        <v>0</v>
      </c>
      <c r="I117" s="1">
        <v>25</v>
      </c>
      <c r="J117" s="1">
        <v>1</v>
      </c>
      <c r="K117" s="1">
        <v>1</v>
      </c>
      <c r="M117" s="1">
        <v>0</v>
      </c>
      <c r="N117" s="1">
        <v>1</v>
      </c>
      <c r="O117" s="1">
        <v>3</v>
      </c>
      <c r="P117" s="1">
        <v>20</v>
      </c>
      <c r="Q117" s="1">
        <v>412</v>
      </c>
      <c r="R117" s="1">
        <v>1</v>
      </c>
      <c r="S117" s="1" t="s">
        <v>257</v>
      </c>
      <c r="T117" s="1">
        <v>1</v>
      </c>
      <c r="U117" s="1">
        <v>300</v>
      </c>
      <c r="V117" s="1">
        <v>0</v>
      </c>
      <c r="X117" s="1">
        <v>4</v>
      </c>
      <c r="Y117" s="1">
        <f t="shared" si="18"/>
        <v>0</v>
      </c>
      <c r="Z117" s="1">
        <f t="shared" si="19"/>
        <v>1</v>
      </c>
      <c r="AA117" s="1">
        <v>10</v>
      </c>
      <c r="AC117" s="1">
        <v>0</v>
      </c>
      <c r="AD117" s="1">
        <v>0</v>
      </c>
      <c r="AE117" s="1">
        <v>1</v>
      </c>
      <c r="AF117" s="1">
        <v>1</v>
      </c>
      <c r="AG117" s="1">
        <v>1</v>
      </c>
      <c r="AH117" s="1">
        <v>1</v>
      </c>
      <c r="AI117" s="1">
        <v>0</v>
      </c>
      <c r="AJ117" s="1">
        <v>0</v>
      </c>
      <c r="AK117" s="1">
        <v>0</v>
      </c>
      <c r="AL117" s="1">
        <v>1</v>
      </c>
      <c r="AM117" s="1">
        <v>3</v>
      </c>
      <c r="AO117" s="1">
        <v>1</v>
      </c>
      <c r="AP117" s="1">
        <v>1</v>
      </c>
      <c r="AQ117" s="1">
        <v>0</v>
      </c>
      <c r="AS117" s="1">
        <v>1</v>
      </c>
      <c r="AT117" s="1">
        <v>0</v>
      </c>
      <c r="AU117" s="1">
        <v>1</v>
      </c>
      <c r="AV117" s="1">
        <v>0</v>
      </c>
      <c r="AW117" s="1">
        <v>0</v>
      </c>
      <c r="AX117" s="1">
        <v>0</v>
      </c>
      <c r="AY117" s="1">
        <v>1.5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0.5</v>
      </c>
      <c r="BG117" s="1" t="s">
        <v>224</v>
      </c>
      <c r="BH117" s="1" t="s">
        <v>210</v>
      </c>
      <c r="BI117" s="1" t="s">
        <v>302</v>
      </c>
      <c r="BR117" s="1">
        <v>1</v>
      </c>
      <c r="BS117" s="1">
        <v>0</v>
      </c>
      <c r="BT117" s="1">
        <v>0</v>
      </c>
      <c r="BU117" s="1">
        <v>1</v>
      </c>
      <c r="BV117" s="1">
        <v>1</v>
      </c>
      <c r="BW117" s="1">
        <v>1</v>
      </c>
      <c r="BX117" s="1">
        <v>0</v>
      </c>
      <c r="BZ117" s="1">
        <v>1</v>
      </c>
      <c r="CF117" s="1">
        <f t="shared" si="20"/>
        <v>0</v>
      </c>
      <c r="CH117" s="1">
        <v>1.5</v>
      </c>
      <c r="CO117" s="1">
        <v>1000</v>
      </c>
      <c r="CV117" s="1">
        <v>1.5</v>
      </c>
      <c r="DB117" s="7">
        <f t="shared" si="21"/>
        <v>0.66666666666666663</v>
      </c>
      <c r="DC117" s="5">
        <f t="shared" si="22"/>
        <v>2</v>
      </c>
      <c r="DE117" s="1">
        <v>3333</v>
      </c>
      <c r="DL117" s="1">
        <v>4</v>
      </c>
      <c r="DR117" s="1">
        <f t="shared" si="23"/>
        <v>4</v>
      </c>
      <c r="DZ117" s="1">
        <f t="shared" si="24"/>
        <v>0</v>
      </c>
      <c r="EF117" s="1">
        <f t="shared" si="25"/>
        <v>0</v>
      </c>
      <c r="EH117" s="1">
        <v>0</v>
      </c>
      <c r="EN117" s="1">
        <f t="shared" si="26"/>
        <v>0</v>
      </c>
      <c r="EP117" s="1">
        <v>0</v>
      </c>
      <c r="EV117" s="1">
        <f t="shared" si="27"/>
        <v>0</v>
      </c>
      <c r="EX117" s="1">
        <v>0</v>
      </c>
      <c r="FE117" s="1">
        <v>1</v>
      </c>
      <c r="FK117" s="1">
        <f t="shared" si="28"/>
        <v>1</v>
      </c>
      <c r="FM117" s="1">
        <v>0</v>
      </c>
      <c r="FS117" s="1">
        <f t="shared" si="29"/>
        <v>0</v>
      </c>
      <c r="FU117" s="1">
        <v>0</v>
      </c>
      <c r="GA117" s="1">
        <f t="shared" si="30"/>
        <v>0</v>
      </c>
      <c r="GJ117" s="1">
        <v>0</v>
      </c>
      <c r="GP117" s="1">
        <f t="shared" si="31"/>
        <v>0</v>
      </c>
      <c r="GR117" s="1">
        <v>6000</v>
      </c>
      <c r="GX117" s="1">
        <f t="shared" si="32"/>
        <v>6</v>
      </c>
      <c r="GZ117" s="1">
        <v>1</v>
      </c>
      <c r="HF117" s="1">
        <f t="shared" si="33"/>
        <v>1</v>
      </c>
      <c r="HH117" s="1">
        <v>11</v>
      </c>
      <c r="HN117" s="1">
        <f t="shared" si="34"/>
        <v>11</v>
      </c>
      <c r="HP117" s="1">
        <v>0</v>
      </c>
      <c r="HV117" s="1">
        <f t="shared" si="35"/>
        <v>0</v>
      </c>
      <c r="IK117" s="1">
        <v>0</v>
      </c>
      <c r="IL117" s="1">
        <v>48</v>
      </c>
      <c r="IM117" s="1">
        <v>12</v>
      </c>
      <c r="IN117" s="1">
        <v>60</v>
      </c>
      <c r="IO117" s="1">
        <v>0</v>
      </c>
    </row>
    <row r="118" spans="1:249" x14ac:dyDescent="0.25">
      <c r="A118" s="1">
        <v>117</v>
      </c>
      <c r="B118" s="1" t="s">
        <v>237</v>
      </c>
      <c r="C118" s="1" t="s">
        <v>194</v>
      </c>
      <c r="D118" s="1" t="s">
        <v>295</v>
      </c>
      <c r="E118" s="1" t="s">
        <v>300</v>
      </c>
      <c r="F118" s="1">
        <v>0</v>
      </c>
      <c r="G118" s="1">
        <v>1</v>
      </c>
      <c r="H118" s="1">
        <v>0</v>
      </c>
      <c r="I118" s="1">
        <v>58</v>
      </c>
      <c r="J118" s="1">
        <v>1</v>
      </c>
      <c r="K118" s="1">
        <v>1</v>
      </c>
      <c r="M118" s="1">
        <v>0</v>
      </c>
      <c r="N118" s="1">
        <v>1</v>
      </c>
      <c r="O118" s="1">
        <v>4</v>
      </c>
      <c r="P118" s="1">
        <v>35</v>
      </c>
      <c r="Q118" s="1">
        <v>800</v>
      </c>
      <c r="R118" s="1">
        <v>0</v>
      </c>
      <c r="T118" s="1">
        <v>1</v>
      </c>
      <c r="U118" s="1">
        <v>200</v>
      </c>
      <c r="V118" s="1">
        <v>0</v>
      </c>
      <c r="X118" s="1">
        <v>3</v>
      </c>
      <c r="Y118" s="1">
        <f t="shared" si="18"/>
        <v>1</v>
      </c>
      <c r="Z118" s="1">
        <f t="shared" si="19"/>
        <v>0</v>
      </c>
      <c r="AA118" s="1">
        <v>6</v>
      </c>
      <c r="AC118" s="1">
        <v>0</v>
      </c>
      <c r="AD118" s="1">
        <v>0</v>
      </c>
      <c r="AE118" s="1">
        <v>1</v>
      </c>
      <c r="AF118" s="1">
        <v>0</v>
      </c>
      <c r="AG118" s="1">
        <v>1</v>
      </c>
      <c r="AH118" s="1">
        <v>1</v>
      </c>
      <c r="AI118" s="1">
        <v>0</v>
      </c>
      <c r="AJ118" s="1">
        <v>0</v>
      </c>
      <c r="AK118" s="1">
        <v>0</v>
      </c>
      <c r="AL118" s="1">
        <v>1</v>
      </c>
      <c r="AM118" s="1">
        <v>24</v>
      </c>
      <c r="AO118" s="1">
        <v>1</v>
      </c>
      <c r="AP118" s="1">
        <v>0</v>
      </c>
      <c r="AQ118" s="1">
        <v>1</v>
      </c>
      <c r="AS118" s="1">
        <v>1</v>
      </c>
      <c r="AT118" s="1">
        <v>0</v>
      </c>
      <c r="AU118" s="1">
        <v>0</v>
      </c>
      <c r="AV118" s="1">
        <v>0</v>
      </c>
      <c r="AW118" s="1">
        <v>1</v>
      </c>
      <c r="AX118" s="1">
        <v>0</v>
      </c>
      <c r="AY118" s="1">
        <v>2</v>
      </c>
      <c r="AZ118" s="1">
        <v>0</v>
      </c>
      <c r="BA118" s="1">
        <v>0</v>
      </c>
      <c r="BB118" s="1">
        <v>0</v>
      </c>
      <c r="BC118" s="1">
        <v>1</v>
      </c>
      <c r="BD118" s="1">
        <v>0</v>
      </c>
      <c r="BE118" s="1">
        <v>3</v>
      </c>
      <c r="BG118" s="1" t="s">
        <v>224</v>
      </c>
      <c r="BR118" s="1">
        <v>0</v>
      </c>
      <c r="BS118" s="1">
        <v>1</v>
      </c>
      <c r="BT118" s="1">
        <v>1</v>
      </c>
      <c r="BU118" s="1">
        <v>1</v>
      </c>
      <c r="BV118" s="1">
        <v>0</v>
      </c>
      <c r="BW118" s="1">
        <v>1</v>
      </c>
      <c r="BX118" s="1">
        <v>1</v>
      </c>
      <c r="BZ118" s="1">
        <v>1</v>
      </c>
      <c r="CF118" s="1">
        <f t="shared" si="20"/>
        <v>0</v>
      </c>
      <c r="CH118" s="1">
        <v>1.5</v>
      </c>
      <c r="CO118" s="1">
        <v>500</v>
      </c>
      <c r="CV118" s="1">
        <v>1.5</v>
      </c>
      <c r="DB118" s="7">
        <f t="shared" si="21"/>
        <v>0.33333333333333331</v>
      </c>
      <c r="DC118" s="5">
        <f t="shared" si="22"/>
        <v>1</v>
      </c>
      <c r="DE118" s="1">
        <v>3333</v>
      </c>
      <c r="DL118" s="1">
        <v>9</v>
      </c>
      <c r="DR118" s="1">
        <f t="shared" si="23"/>
        <v>9</v>
      </c>
      <c r="DZ118" s="1">
        <f t="shared" si="24"/>
        <v>0</v>
      </c>
      <c r="EC118" s="1">
        <v>1</v>
      </c>
      <c r="EF118" s="1">
        <f t="shared" si="25"/>
        <v>1</v>
      </c>
      <c r="EH118" s="1">
        <v>1</v>
      </c>
      <c r="EN118" s="1">
        <f t="shared" si="26"/>
        <v>1</v>
      </c>
      <c r="EP118" s="1">
        <v>1</v>
      </c>
      <c r="EV118" s="1">
        <f t="shared" si="27"/>
        <v>1</v>
      </c>
      <c r="EX118" s="1">
        <v>1</v>
      </c>
      <c r="FE118" s="1">
        <v>1</v>
      </c>
      <c r="FK118" s="1">
        <f t="shared" si="28"/>
        <v>1</v>
      </c>
      <c r="FM118" s="1">
        <v>0</v>
      </c>
      <c r="FS118" s="1">
        <f t="shared" si="29"/>
        <v>0</v>
      </c>
      <c r="FU118" s="1">
        <v>0</v>
      </c>
      <c r="GA118" s="1">
        <f t="shared" si="30"/>
        <v>0</v>
      </c>
      <c r="GJ118" s="1">
        <v>0</v>
      </c>
      <c r="GP118" s="1">
        <f t="shared" si="31"/>
        <v>0</v>
      </c>
      <c r="GR118" s="1">
        <v>5000</v>
      </c>
      <c r="GX118" s="1">
        <f t="shared" si="32"/>
        <v>5</v>
      </c>
      <c r="GZ118" s="1">
        <v>1</v>
      </c>
      <c r="HF118" s="1">
        <f t="shared" si="33"/>
        <v>1</v>
      </c>
      <c r="HH118" s="1">
        <v>7</v>
      </c>
      <c r="HN118" s="1">
        <f t="shared" si="34"/>
        <v>7</v>
      </c>
      <c r="HP118" s="1">
        <v>0</v>
      </c>
      <c r="HV118" s="1">
        <f t="shared" si="35"/>
        <v>0</v>
      </c>
      <c r="IK118" s="1">
        <v>24</v>
      </c>
      <c r="IL118" s="1">
        <v>24</v>
      </c>
      <c r="IM118" s="1">
        <v>0</v>
      </c>
      <c r="IN118" s="1">
        <v>36</v>
      </c>
      <c r="IO118" s="1">
        <v>24</v>
      </c>
    </row>
    <row r="119" spans="1:249" x14ac:dyDescent="0.25">
      <c r="A119" s="1">
        <v>118</v>
      </c>
      <c r="B119" s="1" t="s">
        <v>237</v>
      </c>
      <c r="C119" s="1" t="s">
        <v>194</v>
      </c>
      <c r="D119" s="1" t="s">
        <v>295</v>
      </c>
      <c r="E119" s="1" t="s">
        <v>300</v>
      </c>
      <c r="F119" s="1">
        <v>0</v>
      </c>
      <c r="G119" s="1">
        <v>1</v>
      </c>
      <c r="H119" s="1">
        <v>0</v>
      </c>
      <c r="I119" s="1">
        <v>44</v>
      </c>
      <c r="J119" s="1">
        <v>0</v>
      </c>
      <c r="K119" s="1">
        <v>1</v>
      </c>
      <c r="M119" s="1">
        <v>0</v>
      </c>
      <c r="N119" s="1">
        <v>1</v>
      </c>
      <c r="O119" s="1">
        <v>5</v>
      </c>
      <c r="P119" s="1">
        <v>18</v>
      </c>
      <c r="Q119" s="1">
        <v>200</v>
      </c>
      <c r="R119" s="1">
        <v>1</v>
      </c>
      <c r="S119" s="1" t="s">
        <v>220</v>
      </c>
      <c r="T119" s="1">
        <v>1</v>
      </c>
      <c r="U119" s="1">
        <v>200</v>
      </c>
      <c r="V119" s="1">
        <v>0</v>
      </c>
      <c r="X119" s="1">
        <v>2</v>
      </c>
      <c r="Y119" s="1">
        <f t="shared" si="18"/>
        <v>1</v>
      </c>
      <c r="Z119" s="1">
        <f t="shared" si="19"/>
        <v>0</v>
      </c>
      <c r="AA119" s="1">
        <v>2</v>
      </c>
      <c r="AC119" s="1">
        <v>1</v>
      </c>
      <c r="AD119" s="1">
        <v>0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0</v>
      </c>
      <c r="AK119" s="1">
        <v>0</v>
      </c>
      <c r="AL119" s="1">
        <v>1</v>
      </c>
      <c r="AM119" s="1">
        <v>4</v>
      </c>
      <c r="AO119" s="1">
        <v>1</v>
      </c>
      <c r="AP119" s="1">
        <v>0</v>
      </c>
      <c r="AQ119" s="1">
        <v>1</v>
      </c>
      <c r="AS119" s="1">
        <v>1</v>
      </c>
      <c r="AT119" s="1">
        <v>0</v>
      </c>
      <c r="AU119" s="1">
        <v>0</v>
      </c>
      <c r="AV119" s="1">
        <v>0</v>
      </c>
      <c r="AW119" s="1">
        <v>1</v>
      </c>
      <c r="AX119" s="1">
        <v>0</v>
      </c>
      <c r="AY119" s="1">
        <v>4</v>
      </c>
      <c r="AZ119" s="1">
        <v>0</v>
      </c>
      <c r="BA119" s="1">
        <v>0</v>
      </c>
      <c r="BB119" s="1">
        <v>1</v>
      </c>
      <c r="BC119" s="1">
        <v>0</v>
      </c>
      <c r="BD119" s="1">
        <v>0</v>
      </c>
      <c r="BE119" s="1">
        <v>0</v>
      </c>
      <c r="BG119" s="1" t="s">
        <v>224</v>
      </c>
      <c r="BH119" s="1" t="s">
        <v>210</v>
      </c>
      <c r="BI119" s="1" t="s">
        <v>225</v>
      </c>
      <c r="BR119" s="1">
        <v>1</v>
      </c>
      <c r="BS119" s="1">
        <v>0</v>
      </c>
      <c r="BT119" s="1">
        <v>0</v>
      </c>
      <c r="BU119" s="1">
        <v>1</v>
      </c>
      <c r="BV119" s="1">
        <v>0</v>
      </c>
      <c r="BW119" s="1">
        <v>1</v>
      </c>
      <c r="BX119" s="1">
        <v>0</v>
      </c>
      <c r="BZ119" s="1">
        <v>1</v>
      </c>
      <c r="CF119" s="1">
        <f t="shared" si="20"/>
        <v>0</v>
      </c>
      <c r="CH119" s="1">
        <v>1</v>
      </c>
      <c r="CO119" s="1">
        <v>800</v>
      </c>
      <c r="CV119" s="1">
        <v>1</v>
      </c>
      <c r="DB119" s="7">
        <f t="shared" si="21"/>
        <v>0.8</v>
      </c>
      <c r="DC119" s="5">
        <f t="shared" si="22"/>
        <v>2</v>
      </c>
      <c r="DE119" s="1">
        <v>3333</v>
      </c>
      <c r="DL119" s="1">
        <v>4</v>
      </c>
      <c r="DR119" s="1">
        <f t="shared" si="23"/>
        <v>4</v>
      </c>
      <c r="DZ119" s="1">
        <f t="shared" si="24"/>
        <v>0</v>
      </c>
      <c r="EC119" s="1">
        <v>1</v>
      </c>
      <c r="EF119" s="1">
        <f t="shared" si="25"/>
        <v>1</v>
      </c>
      <c r="EH119" s="1">
        <v>1</v>
      </c>
      <c r="EN119" s="1">
        <f t="shared" si="26"/>
        <v>1</v>
      </c>
      <c r="EP119" s="1">
        <v>1</v>
      </c>
      <c r="EV119" s="1">
        <f t="shared" si="27"/>
        <v>1</v>
      </c>
      <c r="EX119" s="1">
        <v>1</v>
      </c>
      <c r="FE119" s="1">
        <v>1</v>
      </c>
      <c r="FK119" s="1">
        <f t="shared" si="28"/>
        <v>1</v>
      </c>
      <c r="FM119" s="1">
        <v>0</v>
      </c>
      <c r="FS119" s="1">
        <f t="shared" si="29"/>
        <v>0</v>
      </c>
      <c r="FU119" s="1">
        <v>0</v>
      </c>
      <c r="GA119" s="1">
        <f t="shared" si="30"/>
        <v>0</v>
      </c>
      <c r="GJ119" s="1">
        <v>0</v>
      </c>
      <c r="GP119" s="1">
        <f t="shared" si="31"/>
        <v>0</v>
      </c>
      <c r="GR119" s="1">
        <v>5000</v>
      </c>
      <c r="GX119" s="1">
        <f t="shared" si="32"/>
        <v>5</v>
      </c>
      <c r="GZ119" s="1">
        <v>1</v>
      </c>
      <c r="HF119" s="1">
        <f t="shared" si="33"/>
        <v>1</v>
      </c>
      <c r="HH119" s="1">
        <v>6</v>
      </c>
      <c r="HN119" s="1">
        <f t="shared" si="34"/>
        <v>6</v>
      </c>
      <c r="HP119" s="1">
        <v>0</v>
      </c>
      <c r="HV119" s="1">
        <f t="shared" si="35"/>
        <v>0</v>
      </c>
      <c r="IK119" s="1">
        <v>0</v>
      </c>
      <c r="IL119" s="1">
        <v>32</v>
      </c>
      <c r="IM119" s="1">
        <v>0</v>
      </c>
      <c r="IN119" s="1">
        <v>40</v>
      </c>
      <c r="IO119" s="1">
        <v>0</v>
      </c>
    </row>
    <row r="120" spans="1:249" x14ac:dyDescent="0.25">
      <c r="A120" s="1">
        <v>119</v>
      </c>
      <c r="B120" s="1" t="s">
        <v>237</v>
      </c>
      <c r="C120" s="1" t="s">
        <v>194</v>
      </c>
      <c r="D120" s="1" t="s">
        <v>295</v>
      </c>
      <c r="E120" s="1" t="s">
        <v>300</v>
      </c>
      <c r="F120" s="1">
        <v>0</v>
      </c>
      <c r="G120" s="1">
        <v>1</v>
      </c>
      <c r="H120" s="1">
        <v>0</v>
      </c>
      <c r="I120" s="1">
        <v>60</v>
      </c>
      <c r="J120" s="1">
        <v>1</v>
      </c>
      <c r="K120" s="1">
        <v>1</v>
      </c>
      <c r="M120" s="1">
        <v>1</v>
      </c>
      <c r="N120" s="1">
        <v>0</v>
      </c>
      <c r="O120" s="1">
        <v>5</v>
      </c>
      <c r="P120" s="1">
        <v>12</v>
      </c>
      <c r="Q120" s="1">
        <v>300</v>
      </c>
      <c r="R120" s="1">
        <v>0</v>
      </c>
      <c r="T120" s="1">
        <v>1</v>
      </c>
      <c r="U120" s="1">
        <v>250</v>
      </c>
      <c r="V120" s="1">
        <v>0</v>
      </c>
      <c r="X120" s="1">
        <v>2</v>
      </c>
      <c r="Y120" s="1">
        <f t="shared" si="18"/>
        <v>1</v>
      </c>
      <c r="Z120" s="1">
        <f t="shared" si="19"/>
        <v>0</v>
      </c>
      <c r="AA120" s="1">
        <v>6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  <c r="AH120" s="1">
        <v>1</v>
      </c>
      <c r="AI120" s="1">
        <v>0</v>
      </c>
      <c r="AJ120" s="1">
        <v>0</v>
      </c>
      <c r="AK120" s="1">
        <v>0</v>
      </c>
      <c r="AL120" s="1">
        <v>1</v>
      </c>
      <c r="AM120" s="1">
        <v>7</v>
      </c>
      <c r="AO120" s="1">
        <v>1</v>
      </c>
      <c r="AP120" s="1">
        <v>0</v>
      </c>
      <c r="AQ120" s="1">
        <v>0</v>
      </c>
      <c r="AS120" s="1">
        <v>1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3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8</v>
      </c>
      <c r="BG120" s="1" t="s">
        <v>224</v>
      </c>
      <c r="BH120" s="1" t="s">
        <v>210</v>
      </c>
      <c r="BI120" s="1" t="s">
        <v>211</v>
      </c>
      <c r="BR120" s="1">
        <v>1</v>
      </c>
      <c r="BS120" s="1">
        <v>0</v>
      </c>
      <c r="BT120" s="1">
        <v>0</v>
      </c>
      <c r="BU120" s="1">
        <v>1</v>
      </c>
      <c r="BV120" s="1">
        <v>0</v>
      </c>
      <c r="BW120" s="1">
        <v>1</v>
      </c>
      <c r="BX120" s="1">
        <v>0</v>
      </c>
      <c r="BZ120" s="1">
        <v>1</v>
      </c>
      <c r="CF120" s="1">
        <f t="shared" si="20"/>
        <v>0</v>
      </c>
      <c r="CH120" s="1">
        <v>2</v>
      </c>
      <c r="CO120" s="1">
        <v>1500</v>
      </c>
      <c r="CV120" s="1">
        <v>2</v>
      </c>
      <c r="DB120" s="7">
        <f t="shared" si="21"/>
        <v>0.75</v>
      </c>
      <c r="DC120" s="5">
        <f t="shared" si="22"/>
        <v>2</v>
      </c>
      <c r="DE120" s="1">
        <v>3333</v>
      </c>
      <c r="DL120" s="1">
        <v>7</v>
      </c>
      <c r="DR120" s="1">
        <f t="shared" si="23"/>
        <v>7</v>
      </c>
      <c r="DZ120" s="1">
        <f t="shared" si="24"/>
        <v>0</v>
      </c>
      <c r="EF120" s="1">
        <f t="shared" si="25"/>
        <v>0</v>
      </c>
      <c r="EH120" s="1">
        <v>1</v>
      </c>
      <c r="EN120" s="1">
        <f t="shared" si="26"/>
        <v>1</v>
      </c>
      <c r="EP120" s="1">
        <v>1</v>
      </c>
      <c r="EV120" s="1">
        <f t="shared" si="27"/>
        <v>1</v>
      </c>
      <c r="EX120" s="1">
        <v>1</v>
      </c>
      <c r="FE120" s="1">
        <v>1</v>
      </c>
      <c r="FK120" s="1">
        <f t="shared" si="28"/>
        <v>1</v>
      </c>
      <c r="FM120" s="1">
        <v>0</v>
      </c>
      <c r="FS120" s="1">
        <f t="shared" si="29"/>
        <v>0</v>
      </c>
      <c r="FU120" s="1">
        <v>0</v>
      </c>
      <c r="GA120" s="1">
        <f t="shared" si="30"/>
        <v>0</v>
      </c>
      <c r="GJ120" s="1">
        <v>0</v>
      </c>
      <c r="GP120" s="1">
        <f t="shared" si="31"/>
        <v>0</v>
      </c>
      <c r="GR120" s="1">
        <v>7000</v>
      </c>
      <c r="GX120" s="1">
        <f t="shared" si="32"/>
        <v>7</v>
      </c>
      <c r="GZ120" s="1">
        <v>1</v>
      </c>
      <c r="HF120" s="1">
        <f t="shared" si="33"/>
        <v>1</v>
      </c>
      <c r="HH120" s="1">
        <v>7</v>
      </c>
      <c r="HN120" s="1">
        <f t="shared" si="34"/>
        <v>7</v>
      </c>
      <c r="HP120" s="1">
        <v>0</v>
      </c>
      <c r="HV120" s="1">
        <f t="shared" si="35"/>
        <v>0</v>
      </c>
      <c r="IK120" s="1">
        <v>0</v>
      </c>
      <c r="IL120" s="1">
        <v>0</v>
      </c>
      <c r="IM120" s="1">
        <v>0</v>
      </c>
      <c r="IN120" s="1">
        <v>80</v>
      </c>
      <c r="IO120" s="1">
        <v>0</v>
      </c>
    </row>
    <row r="121" spans="1:249" x14ac:dyDescent="0.25">
      <c r="A121" s="1">
        <v>120</v>
      </c>
      <c r="B121" s="1" t="s">
        <v>237</v>
      </c>
      <c r="C121" s="1" t="s">
        <v>194</v>
      </c>
      <c r="D121" s="1" t="s">
        <v>295</v>
      </c>
      <c r="E121" s="1" t="s">
        <v>300</v>
      </c>
      <c r="F121" s="1">
        <v>0</v>
      </c>
      <c r="G121" s="1">
        <v>1</v>
      </c>
      <c r="H121" s="1">
        <v>0</v>
      </c>
      <c r="I121" s="1">
        <v>78</v>
      </c>
      <c r="J121" s="1">
        <v>1</v>
      </c>
      <c r="K121" s="1">
        <v>1</v>
      </c>
      <c r="M121" s="1">
        <v>0</v>
      </c>
      <c r="N121" s="1">
        <v>1</v>
      </c>
      <c r="O121" s="1">
        <v>7</v>
      </c>
      <c r="P121" s="1">
        <v>30</v>
      </c>
      <c r="Q121" s="1">
        <v>600</v>
      </c>
      <c r="R121" s="1">
        <v>1</v>
      </c>
      <c r="S121" s="1" t="s">
        <v>197</v>
      </c>
      <c r="T121" s="1">
        <v>1</v>
      </c>
      <c r="U121" s="1">
        <v>475</v>
      </c>
      <c r="V121" s="1">
        <v>1</v>
      </c>
      <c r="W121" s="1" t="s">
        <v>301</v>
      </c>
      <c r="X121" s="1">
        <v>0</v>
      </c>
      <c r="Y121" s="1">
        <f t="shared" si="18"/>
        <v>0</v>
      </c>
      <c r="Z121" s="1">
        <f t="shared" si="19"/>
        <v>0</v>
      </c>
      <c r="AA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1</v>
      </c>
      <c r="AH121" s="1">
        <v>1</v>
      </c>
      <c r="AI121" s="1">
        <v>1</v>
      </c>
      <c r="AJ121" s="1">
        <v>0</v>
      </c>
      <c r="AK121" s="1">
        <v>0</v>
      </c>
      <c r="AL121" s="1">
        <v>0</v>
      </c>
      <c r="AM121" s="1">
        <v>0</v>
      </c>
      <c r="AO121" s="1">
        <v>1</v>
      </c>
      <c r="AP121" s="1">
        <v>0</v>
      </c>
      <c r="AQ121" s="1">
        <v>1</v>
      </c>
      <c r="AS121" s="1">
        <v>1</v>
      </c>
      <c r="AT121" s="1">
        <v>0</v>
      </c>
      <c r="AU121" s="1">
        <v>0</v>
      </c>
      <c r="AV121" s="1">
        <v>0</v>
      </c>
      <c r="AW121" s="1">
        <v>1</v>
      </c>
      <c r="AX121" s="1">
        <v>0</v>
      </c>
      <c r="AY121" s="1">
        <v>4</v>
      </c>
      <c r="AZ121" s="1">
        <v>0</v>
      </c>
      <c r="BA121" s="1">
        <v>0</v>
      </c>
      <c r="BB121" s="1">
        <v>0</v>
      </c>
      <c r="BC121" s="1">
        <v>1</v>
      </c>
      <c r="BD121" s="1">
        <v>0</v>
      </c>
      <c r="BE121" s="1">
        <v>3</v>
      </c>
      <c r="BG121" s="1" t="s">
        <v>224</v>
      </c>
      <c r="BH121" s="1" t="s">
        <v>210</v>
      </c>
      <c r="BI121" s="1" t="s">
        <v>225</v>
      </c>
      <c r="BR121" s="1">
        <v>1</v>
      </c>
      <c r="BS121" s="1">
        <v>0</v>
      </c>
      <c r="BT121" s="1">
        <v>0</v>
      </c>
      <c r="BU121" s="1">
        <v>1</v>
      </c>
      <c r="BV121" s="1">
        <v>0</v>
      </c>
      <c r="BW121" s="1">
        <v>1</v>
      </c>
      <c r="BX121" s="1">
        <v>0</v>
      </c>
      <c r="BZ121" s="1">
        <v>1</v>
      </c>
      <c r="CF121" s="1">
        <f t="shared" si="20"/>
        <v>0</v>
      </c>
      <c r="CH121" s="1">
        <v>4</v>
      </c>
      <c r="CO121" s="1">
        <v>400</v>
      </c>
      <c r="CV121" s="1">
        <v>2</v>
      </c>
      <c r="DB121" s="7">
        <f t="shared" si="21"/>
        <v>0.2</v>
      </c>
      <c r="DC121" s="5">
        <f t="shared" si="22"/>
        <v>1</v>
      </c>
      <c r="DE121" s="1">
        <v>3000</v>
      </c>
      <c r="DL121" s="1">
        <v>10</v>
      </c>
      <c r="DR121" s="1">
        <f t="shared" si="23"/>
        <v>10</v>
      </c>
      <c r="DZ121" s="1">
        <f t="shared" si="24"/>
        <v>0</v>
      </c>
      <c r="EC121" s="1">
        <v>1</v>
      </c>
      <c r="EF121" s="1">
        <f t="shared" si="25"/>
        <v>1</v>
      </c>
      <c r="EH121" s="1">
        <v>0</v>
      </c>
      <c r="EN121" s="1">
        <f t="shared" si="26"/>
        <v>0</v>
      </c>
      <c r="EP121" s="1">
        <v>0</v>
      </c>
      <c r="EV121" s="1">
        <f t="shared" si="27"/>
        <v>0</v>
      </c>
      <c r="EX121" s="1">
        <v>1</v>
      </c>
      <c r="FE121" s="1">
        <v>1</v>
      </c>
      <c r="FK121" s="1">
        <f t="shared" si="28"/>
        <v>1</v>
      </c>
      <c r="FM121" s="1">
        <v>0</v>
      </c>
      <c r="FS121" s="1">
        <f t="shared" si="29"/>
        <v>0</v>
      </c>
      <c r="FU121" s="1">
        <v>0</v>
      </c>
      <c r="GA121" s="1">
        <f t="shared" si="30"/>
        <v>0</v>
      </c>
      <c r="GJ121" s="1">
        <v>0</v>
      </c>
      <c r="GP121" s="1">
        <f t="shared" si="31"/>
        <v>0</v>
      </c>
      <c r="GR121" s="1">
        <v>10000</v>
      </c>
      <c r="GX121" s="1">
        <f t="shared" si="32"/>
        <v>10</v>
      </c>
      <c r="GZ121" s="1">
        <v>1</v>
      </c>
      <c r="HF121" s="1">
        <f t="shared" si="33"/>
        <v>1</v>
      </c>
      <c r="HH121" s="1">
        <v>8</v>
      </c>
      <c r="HN121" s="1">
        <f t="shared" si="34"/>
        <v>8</v>
      </c>
      <c r="HV121" s="1">
        <f t="shared" si="35"/>
        <v>0</v>
      </c>
      <c r="IK121" s="1">
        <v>0</v>
      </c>
      <c r="IL121" s="1">
        <v>128</v>
      </c>
      <c r="IM121" s="1">
        <v>0</v>
      </c>
      <c r="IN121" s="1">
        <v>160</v>
      </c>
      <c r="IO121" s="1">
        <v>0</v>
      </c>
    </row>
    <row r="122" spans="1:249" x14ac:dyDescent="0.25">
      <c r="A122" s="1">
        <v>121</v>
      </c>
      <c r="B122" s="1" t="s">
        <v>237</v>
      </c>
      <c r="C122" s="1" t="s">
        <v>194</v>
      </c>
      <c r="D122" s="1" t="s">
        <v>295</v>
      </c>
      <c r="E122" s="1" t="s">
        <v>299</v>
      </c>
      <c r="F122" s="1">
        <v>0</v>
      </c>
      <c r="G122" s="1">
        <v>1</v>
      </c>
      <c r="H122" s="1">
        <v>0</v>
      </c>
      <c r="I122" s="1">
        <v>56</v>
      </c>
      <c r="J122" s="1">
        <v>1</v>
      </c>
      <c r="K122" s="1">
        <v>1</v>
      </c>
      <c r="M122" s="1">
        <v>1</v>
      </c>
      <c r="N122" s="1">
        <v>0</v>
      </c>
      <c r="O122" s="1">
        <v>4</v>
      </c>
      <c r="P122" s="1">
        <v>40</v>
      </c>
      <c r="Q122" s="1">
        <v>150</v>
      </c>
      <c r="R122" s="1">
        <v>1</v>
      </c>
      <c r="S122" s="1" t="s">
        <v>220</v>
      </c>
      <c r="T122" s="1">
        <v>1</v>
      </c>
      <c r="U122" s="1">
        <v>200</v>
      </c>
      <c r="V122" s="1">
        <v>0</v>
      </c>
      <c r="X122" s="1">
        <v>3</v>
      </c>
      <c r="Y122" s="1">
        <f t="shared" si="18"/>
        <v>1</v>
      </c>
      <c r="Z122" s="1">
        <f t="shared" si="19"/>
        <v>0</v>
      </c>
      <c r="AA122" s="1">
        <v>6</v>
      </c>
      <c r="AC122" s="1">
        <v>0</v>
      </c>
      <c r="AD122" s="1">
        <v>0</v>
      </c>
      <c r="AE122" s="1">
        <v>0</v>
      </c>
      <c r="AF122" s="1">
        <v>0</v>
      </c>
      <c r="AG122" s="1">
        <v>1</v>
      </c>
      <c r="AH122" s="1">
        <v>1</v>
      </c>
      <c r="AI122" s="1">
        <v>1</v>
      </c>
      <c r="AJ122" s="1">
        <v>0</v>
      </c>
      <c r="AK122" s="1">
        <v>1</v>
      </c>
      <c r="AL122" s="1">
        <v>1</v>
      </c>
      <c r="AM122" s="1">
        <v>9</v>
      </c>
      <c r="AO122" s="1">
        <v>1</v>
      </c>
      <c r="AP122" s="1">
        <v>0</v>
      </c>
      <c r="AQ122" s="1">
        <v>0</v>
      </c>
      <c r="AS122" s="1">
        <v>1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1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4</v>
      </c>
      <c r="BG122" s="1" t="s">
        <v>224</v>
      </c>
      <c r="BH122" s="1" t="s">
        <v>210</v>
      </c>
      <c r="BI122" s="1" t="s">
        <v>230</v>
      </c>
      <c r="BR122" s="1">
        <v>1</v>
      </c>
      <c r="BS122" s="1">
        <v>0</v>
      </c>
      <c r="BT122" s="1">
        <v>0</v>
      </c>
      <c r="BU122" s="1">
        <v>1</v>
      </c>
      <c r="BV122" s="1">
        <v>0</v>
      </c>
      <c r="BW122" s="1">
        <v>1</v>
      </c>
      <c r="BX122" s="1">
        <v>1</v>
      </c>
      <c r="BZ122" s="1">
        <v>1</v>
      </c>
      <c r="CF122" s="1">
        <f t="shared" si="20"/>
        <v>0</v>
      </c>
      <c r="CH122" s="1">
        <v>1</v>
      </c>
      <c r="CO122" s="1">
        <v>500</v>
      </c>
      <c r="CV122" s="1">
        <v>1</v>
      </c>
      <c r="DB122" s="7">
        <f t="shared" si="21"/>
        <v>0.5</v>
      </c>
      <c r="DC122" s="5">
        <f t="shared" si="22"/>
        <v>1</v>
      </c>
      <c r="DE122" s="1">
        <v>3000</v>
      </c>
      <c r="DL122" s="1">
        <v>9</v>
      </c>
      <c r="DR122" s="1">
        <f t="shared" si="23"/>
        <v>9</v>
      </c>
      <c r="DT122" s="1">
        <v>1</v>
      </c>
      <c r="DZ122" s="1">
        <f t="shared" si="24"/>
        <v>1</v>
      </c>
      <c r="EC122" s="1">
        <v>1</v>
      </c>
      <c r="EF122" s="1">
        <f t="shared" si="25"/>
        <v>1</v>
      </c>
      <c r="EH122" s="1">
        <v>1</v>
      </c>
      <c r="EN122" s="1">
        <f t="shared" si="26"/>
        <v>1</v>
      </c>
      <c r="EP122" s="1">
        <v>1</v>
      </c>
      <c r="EV122" s="1">
        <f t="shared" si="27"/>
        <v>1</v>
      </c>
      <c r="EX122" s="1">
        <v>1</v>
      </c>
      <c r="FE122" s="1">
        <v>1</v>
      </c>
      <c r="FK122" s="1">
        <f t="shared" si="28"/>
        <v>1</v>
      </c>
      <c r="FM122" s="1">
        <v>0</v>
      </c>
      <c r="FS122" s="1">
        <f t="shared" si="29"/>
        <v>0</v>
      </c>
      <c r="FU122" s="1">
        <v>0</v>
      </c>
      <c r="GA122" s="1">
        <f t="shared" si="30"/>
        <v>0</v>
      </c>
      <c r="GJ122" s="1">
        <v>0</v>
      </c>
      <c r="GP122" s="1">
        <f t="shared" si="31"/>
        <v>0</v>
      </c>
      <c r="GR122" s="1">
        <v>7000</v>
      </c>
      <c r="GX122" s="1">
        <f t="shared" si="32"/>
        <v>7</v>
      </c>
      <c r="GZ122" s="1">
        <v>1</v>
      </c>
      <c r="HF122" s="1">
        <f t="shared" si="33"/>
        <v>1</v>
      </c>
      <c r="HH122" s="1">
        <v>10.5</v>
      </c>
      <c r="HN122" s="1">
        <f t="shared" si="34"/>
        <v>10.5</v>
      </c>
      <c r="HP122" s="1">
        <v>0</v>
      </c>
      <c r="HV122" s="1">
        <f t="shared" si="35"/>
        <v>0</v>
      </c>
      <c r="IK122" s="1">
        <v>0</v>
      </c>
      <c r="IL122" s="1">
        <v>16</v>
      </c>
      <c r="IM122" s="1">
        <v>0</v>
      </c>
      <c r="IN122" s="1">
        <v>24</v>
      </c>
      <c r="IO122" s="1">
        <v>16</v>
      </c>
    </row>
    <row r="123" spans="1:249" x14ac:dyDescent="0.25">
      <c r="A123" s="1">
        <v>122</v>
      </c>
      <c r="B123" s="1" t="s">
        <v>237</v>
      </c>
      <c r="C123" s="1" t="s">
        <v>194</v>
      </c>
      <c r="D123" s="1" t="s">
        <v>295</v>
      </c>
      <c r="E123" s="1" t="s">
        <v>298</v>
      </c>
      <c r="F123" s="1">
        <v>1</v>
      </c>
      <c r="G123" s="1">
        <v>0</v>
      </c>
      <c r="H123" s="1">
        <v>0</v>
      </c>
      <c r="I123" s="1">
        <v>40</v>
      </c>
      <c r="J123" s="1">
        <v>1</v>
      </c>
      <c r="K123" s="1">
        <v>1</v>
      </c>
      <c r="M123" s="1">
        <v>1</v>
      </c>
      <c r="N123" s="1">
        <v>1</v>
      </c>
      <c r="O123" s="1">
        <v>3</v>
      </c>
      <c r="P123" s="1">
        <v>18</v>
      </c>
      <c r="Q123" s="1">
        <v>400</v>
      </c>
      <c r="R123" s="1">
        <v>0</v>
      </c>
      <c r="T123" s="1">
        <v>1</v>
      </c>
      <c r="U123" s="1">
        <v>300</v>
      </c>
      <c r="V123" s="1">
        <v>0</v>
      </c>
      <c r="X123" s="1">
        <v>3</v>
      </c>
      <c r="Y123" s="1">
        <f t="shared" si="18"/>
        <v>1</v>
      </c>
      <c r="Z123" s="1">
        <f t="shared" si="19"/>
        <v>0</v>
      </c>
      <c r="AA123" s="1">
        <v>7</v>
      </c>
      <c r="AC123" s="1">
        <v>0</v>
      </c>
      <c r="AD123" s="1">
        <v>0</v>
      </c>
      <c r="AE123" s="1">
        <v>1</v>
      </c>
      <c r="AF123" s="1">
        <v>0</v>
      </c>
      <c r="AG123" s="1">
        <v>1</v>
      </c>
      <c r="AH123" s="1">
        <v>1</v>
      </c>
      <c r="AI123" s="1">
        <v>1</v>
      </c>
      <c r="AJ123" s="1">
        <v>0</v>
      </c>
      <c r="AK123" s="1">
        <v>0</v>
      </c>
      <c r="AL123" s="1">
        <v>1</v>
      </c>
      <c r="AM123" s="1">
        <v>7</v>
      </c>
      <c r="AO123" s="1">
        <v>1</v>
      </c>
      <c r="AP123" s="1">
        <v>0</v>
      </c>
      <c r="AQ123" s="1">
        <v>0</v>
      </c>
      <c r="AS123" s="1">
        <v>1</v>
      </c>
      <c r="AT123" s="1">
        <v>1</v>
      </c>
      <c r="AU123" s="1">
        <v>0</v>
      </c>
      <c r="AV123" s="1">
        <v>0</v>
      </c>
      <c r="AW123" s="1">
        <v>0</v>
      </c>
      <c r="AX123" s="1">
        <v>0</v>
      </c>
      <c r="AY123" s="1">
        <v>1.5</v>
      </c>
      <c r="AZ123" s="1">
        <v>0.5</v>
      </c>
      <c r="BA123" s="1">
        <v>0</v>
      </c>
      <c r="BB123" s="1">
        <v>0</v>
      </c>
      <c r="BC123" s="1">
        <v>0</v>
      </c>
      <c r="BD123" s="1">
        <v>0</v>
      </c>
      <c r="BE123" s="1">
        <v>1</v>
      </c>
      <c r="BG123" s="1" t="s">
        <v>224</v>
      </c>
      <c r="BH123" s="1" t="s">
        <v>211</v>
      </c>
      <c r="BR123" s="1">
        <v>1</v>
      </c>
      <c r="BS123" s="1">
        <v>0</v>
      </c>
      <c r="BT123" s="1">
        <v>0</v>
      </c>
      <c r="BU123" s="1">
        <v>1</v>
      </c>
      <c r="BV123" s="1">
        <v>0</v>
      </c>
      <c r="BW123" s="1">
        <v>1</v>
      </c>
      <c r="BX123" s="1">
        <v>0</v>
      </c>
      <c r="BZ123" s="1">
        <v>1</v>
      </c>
      <c r="CF123" s="1">
        <f t="shared" si="20"/>
        <v>0</v>
      </c>
      <c r="CH123" s="1">
        <v>1.5</v>
      </c>
      <c r="CO123" s="1">
        <v>1200</v>
      </c>
      <c r="CV123" s="1">
        <v>1.5</v>
      </c>
      <c r="DB123" s="7">
        <f t="shared" si="21"/>
        <v>0.8</v>
      </c>
      <c r="DC123" s="5">
        <f t="shared" si="22"/>
        <v>2</v>
      </c>
      <c r="DE123" s="1">
        <v>3333</v>
      </c>
      <c r="DL123" s="1">
        <v>7</v>
      </c>
      <c r="DR123" s="1">
        <f t="shared" si="23"/>
        <v>7</v>
      </c>
      <c r="DZ123" s="1">
        <f t="shared" si="24"/>
        <v>0</v>
      </c>
      <c r="EF123" s="1">
        <f t="shared" si="25"/>
        <v>0</v>
      </c>
      <c r="EH123" s="1">
        <v>0</v>
      </c>
      <c r="EN123" s="1">
        <f t="shared" si="26"/>
        <v>0</v>
      </c>
      <c r="EP123" s="1">
        <v>1</v>
      </c>
      <c r="EV123" s="1">
        <f t="shared" si="27"/>
        <v>1</v>
      </c>
      <c r="EX123" s="1">
        <v>1</v>
      </c>
      <c r="FE123" s="1">
        <v>1</v>
      </c>
      <c r="FK123" s="1">
        <f t="shared" si="28"/>
        <v>1</v>
      </c>
      <c r="FM123" s="1">
        <v>0</v>
      </c>
      <c r="FS123" s="1">
        <f t="shared" si="29"/>
        <v>0</v>
      </c>
      <c r="FU123" s="1">
        <v>0</v>
      </c>
      <c r="GA123" s="1">
        <f t="shared" si="30"/>
        <v>0</v>
      </c>
      <c r="GJ123" s="1">
        <v>0</v>
      </c>
      <c r="GP123" s="1">
        <f t="shared" si="31"/>
        <v>0</v>
      </c>
      <c r="GR123" s="1">
        <v>8000</v>
      </c>
      <c r="GX123" s="1">
        <f t="shared" si="32"/>
        <v>8</v>
      </c>
      <c r="GZ123" s="1">
        <v>1</v>
      </c>
      <c r="HF123" s="1">
        <f t="shared" si="33"/>
        <v>1</v>
      </c>
      <c r="HH123" s="1">
        <v>10</v>
      </c>
      <c r="HN123" s="1">
        <f t="shared" si="34"/>
        <v>10</v>
      </c>
      <c r="HP123" s="1">
        <v>0</v>
      </c>
      <c r="HV123" s="1">
        <f t="shared" si="35"/>
        <v>0</v>
      </c>
      <c r="IK123" s="1">
        <v>0</v>
      </c>
      <c r="IL123" s="1">
        <v>0</v>
      </c>
      <c r="IM123" s="1">
        <v>0</v>
      </c>
      <c r="IN123" s="1">
        <v>60</v>
      </c>
      <c r="IO123" s="1">
        <v>0</v>
      </c>
    </row>
    <row r="124" spans="1:249" x14ac:dyDescent="0.25">
      <c r="A124" s="1">
        <v>123</v>
      </c>
      <c r="B124" s="1" t="s">
        <v>237</v>
      </c>
      <c r="C124" s="1" t="s">
        <v>194</v>
      </c>
      <c r="D124" s="1" t="s">
        <v>290</v>
      </c>
      <c r="E124" s="1" t="s">
        <v>297</v>
      </c>
      <c r="F124" s="1">
        <v>0</v>
      </c>
      <c r="G124" s="1">
        <v>1</v>
      </c>
      <c r="H124" s="1">
        <v>0</v>
      </c>
      <c r="I124" s="1">
        <v>24</v>
      </c>
      <c r="J124" s="1">
        <v>1</v>
      </c>
      <c r="K124" s="1">
        <v>1</v>
      </c>
      <c r="M124" s="1">
        <v>0</v>
      </c>
      <c r="N124" s="1">
        <v>1</v>
      </c>
      <c r="O124" s="1">
        <v>3</v>
      </c>
      <c r="P124" s="1">
        <v>14</v>
      </c>
      <c r="Q124" s="1">
        <v>400</v>
      </c>
      <c r="R124" s="1">
        <v>0</v>
      </c>
      <c r="T124" s="1">
        <v>1</v>
      </c>
      <c r="U124" s="1">
        <v>175</v>
      </c>
      <c r="V124" s="1">
        <v>0</v>
      </c>
      <c r="X124" s="1">
        <v>6</v>
      </c>
      <c r="Y124" s="1">
        <f t="shared" si="18"/>
        <v>0</v>
      </c>
      <c r="Z124" s="1">
        <f t="shared" si="19"/>
        <v>0</v>
      </c>
      <c r="AA124" s="1">
        <v>14</v>
      </c>
      <c r="AC124" s="1">
        <v>1</v>
      </c>
      <c r="AD124" s="1">
        <v>0</v>
      </c>
      <c r="AE124" s="1">
        <v>1</v>
      </c>
      <c r="AF124" s="1">
        <v>1</v>
      </c>
      <c r="AG124" s="1">
        <v>1</v>
      </c>
      <c r="AH124" s="1">
        <v>1</v>
      </c>
      <c r="AI124" s="1">
        <v>1</v>
      </c>
      <c r="AJ124" s="1">
        <v>0</v>
      </c>
      <c r="AK124" s="1">
        <v>1</v>
      </c>
      <c r="AL124" s="1">
        <v>1</v>
      </c>
      <c r="AM124" s="1">
        <v>14</v>
      </c>
      <c r="AO124" s="1">
        <v>1</v>
      </c>
      <c r="AP124" s="1">
        <v>0</v>
      </c>
      <c r="AQ124" s="1">
        <v>1</v>
      </c>
      <c r="AS124" s="1">
        <v>1</v>
      </c>
      <c r="AT124" s="1">
        <v>0</v>
      </c>
      <c r="AU124" s="1">
        <v>0</v>
      </c>
      <c r="AV124" s="1">
        <v>0</v>
      </c>
      <c r="AW124" s="1">
        <v>1</v>
      </c>
      <c r="AX124" s="1">
        <v>0</v>
      </c>
      <c r="AY124" s="1">
        <v>3</v>
      </c>
      <c r="AZ124" s="1">
        <v>0</v>
      </c>
      <c r="BA124" s="1">
        <v>0</v>
      </c>
      <c r="BB124" s="1">
        <v>0</v>
      </c>
      <c r="BC124" s="1">
        <v>1</v>
      </c>
      <c r="BD124" s="1">
        <v>0</v>
      </c>
      <c r="BE124" s="1">
        <v>6</v>
      </c>
      <c r="BG124" s="1" t="s">
        <v>224</v>
      </c>
      <c r="BH124" s="1" t="s">
        <v>210</v>
      </c>
      <c r="BO124" s="1" t="s">
        <v>293</v>
      </c>
      <c r="BR124" s="1">
        <v>1</v>
      </c>
      <c r="BS124" s="1">
        <v>0</v>
      </c>
      <c r="BT124" s="1">
        <v>0</v>
      </c>
      <c r="BU124" s="1">
        <v>1</v>
      </c>
      <c r="BV124" s="1">
        <v>0</v>
      </c>
      <c r="BW124" s="1">
        <v>1</v>
      </c>
      <c r="BX124" s="1">
        <v>0</v>
      </c>
      <c r="BZ124" s="1">
        <v>1</v>
      </c>
      <c r="CB124" s="1">
        <v>1</v>
      </c>
      <c r="CF124" s="1">
        <f t="shared" si="20"/>
        <v>1</v>
      </c>
      <c r="CH124" s="1">
        <v>2</v>
      </c>
      <c r="CJ124" s="1">
        <v>1</v>
      </c>
      <c r="CO124" s="1">
        <v>1500</v>
      </c>
      <c r="CQ124" s="1">
        <v>700</v>
      </c>
      <c r="CV124" s="1">
        <v>2</v>
      </c>
      <c r="CX124" s="1">
        <v>1</v>
      </c>
      <c r="DB124" s="7">
        <f t="shared" si="21"/>
        <v>0.73333333333333339</v>
      </c>
      <c r="DC124" s="5">
        <f t="shared" si="22"/>
        <v>2</v>
      </c>
      <c r="DE124" s="1">
        <v>3333</v>
      </c>
      <c r="DG124" s="1">
        <v>3000</v>
      </c>
      <c r="DL124" s="1">
        <v>5</v>
      </c>
      <c r="DN124" s="1">
        <v>5</v>
      </c>
      <c r="DR124" s="1">
        <f t="shared" si="23"/>
        <v>5</v>
      </c>
      <c r="DZ124" s="1">
        <f t="shared" si="24"/>
        <v>0</v>
      </c>
      <c r="EC124" s="1">
        <v>1</v>
      </c>
      <c r="EF124" s="1">
        <f t="shared" si="25"/>
        <v>1</v>
      </c>
      <c r="EH124" s="1">
        <v>1</v>
      </c>
      <c r="EJ124" s="1">
        <v>1</v>
      </c>
      <c r="EN124" s="1">
        <f t="shared" si="26"/>
        <v>1</v>
      </c>
      <c r="EP124" s="1">
        <v>1</v>
      </c>
      <c r="ER124" s="1">
        <v>1</v>
      </c>
      <c r="EV124" s="1">
        <f t="shared" si="27"/>
        <v>1</v>
      </c>
      <c r="EX124" s="1">
        <v>0</v>
      </c>
      <c r="EZ124" s="1">
        <v>0</v>
      </c>
      <c r="FE124" s="1">
        <v>1</v>
      </c>
      <c r="FG124" s="1">
        <v>1</v>
      </c>
      <c r="FK124" s="1">
        <f t="shared" si="28"/>
        <v>1</v>
      </c>
      <c r="FM124" s="1">
        <v>1</v>
      </c>
      <c r="FO124" s="1">
        <v>1</v>
      </c>
      <c r="FS124" s="1">
        <f t="shared" si="29"/>
        <v>1</v>
      </c>
      <c r="FU124" s="1">
        <v>0</v>
      </c>
      <c r="FV124" s="1">
        <v>0</v>
      </c>
      <c r="GA124" s="1">
        <f t="shared" si="30"/>
        <v>0</v>
      </c>
      <c r="GJ124" s="1">
        <v>0</v>
      </c>
      <c r="GL124" s="1">
        <v>0</v>
      </c>
      <c r="GP124" s="1">
        <f t="shared" si="31"/>
        <v>0</v>
      </c>
      <c r="GR124" s="1">
        <v>20000</v>
      </c>
      <c r="GT124" s="1">
        <v>10000</v>
      </c>
      <c r="GX124" s="1">
        <f t="shared" si="32"/>
        <v>30</v>
      </c>
      <c r="GZ124" s="1">
        <v>1</v>
      </c>
      <c r="HB124" s="1">
        <v>1</v>
      </c>
      <c r="HF124" s="1">
        <f t="shared" si="33"/>
        <v>1</v>
      </c>
      <c r="HH124" s="1">
        <v>11</v>
      </c>
      <c r="HJ124" s="1">
        <v>11</v>
      </c>
      <c r="HN124" s="1">
        <f t="shared" si="34"/>
        <v>11</v>
      </c>
      <c r="HP124" s="1">
        <v>0</v>
      </c>
      <c r="HV124" s="1">
        <f t="shared" si="35"/>
        <v>0</v>
      </c>
      <c r="IK124" s="1">
        <v>0</v>
      </c>
      <c r="IL124" s="1">
        <v>120</v>
      </c>
      <c r="IM124" s="1">
        <v>0</v>
      </c>
      <c r="IN124" s="1">
        <v>120</v>
      </c>
      <c r="IO124" s="1">
        <v>0</v>
      </c>
    </row>
    <row r="125" spans="1:249" x14ac:dyDescent="0.25">
      <c r="A125" s="1">
        <v>124</v>
      </c>
      <c r="B125" s="1" t="s">
        <v>237</v>
      </c>
      <c r="C125" s="1" t="s">
        <v>194</v>
      </c>
      <c r="D125" s="1" t="s">
        <v>290</v>
      </c>
      <c r="E125" s="1" t="s">
        <v>297</v>
      </c>
      <c r="F125" s="1">
        <v>0</v>
      </c>
      <c r="G125" s="1">
        <v>1</v>
      </c>
      <c r="H125" s="1">
        <v>0</v>
      </c>
      <c r="I125" s="1">
        <v>52</v>
      </c>
      <c r="J125" s="1">
        <v>1</v>
      </c>
      <c r="K125" s="1">
        <v>1</v>
      </c>
      <c r="M125" s="1">
        <v>0</v>
      </c>
      <c r="N125" s="1">
        <v>1</v>
      </c>
      <c r="O125" s="1">
        <v>3</v>
      </c>
      <c r="P125" s="1">
        <v>15</v>
      </c>
      <c r="Q125" s="1">
        <v>300</v>
      </c>
      <c r="R125" s="1">
        <v>0</v>
      </c>
      <c r="T125" s="1">
        <v>1</v>
      </c>
      <c r="U125" s="1">
        <v>250</v>
      </c>
      <c r="V125" s="1">
        <v>0</v>
      </c>
      <c r="X125" s="1">
        <v>4</v>
      </c>
      <c r="Y125" s="1">
        <f t="shared" si="18"/>
        <v>0</v>
      </c>
      <c r="Z125" s="1">
        <f t="shared" si="19"/>
        <v>1</v>
      </c>
      <c r="AA125" s="1">
        <v>11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  <c r="AH125" s="1">
        <v>0</v>
      </c>
      <c r="AI125" s="1">
        <v>1</v>
      </c>
      <c r="AJ125" s="1">
        <v>0</v>
      </c>
      <c r="AK125" s="1">
        <v>0</v>
      </c>
      <c r="AL125" s="1">
        <v>1</v>
      </c>
      <c r="AM125" s="1">
        <v>5</v>
      </c>
      <c r="AO125" s="1">
        <v>1</v>
      </c>
      <c r="AP125" s="1">
        <v>0</v>
      </c>
      <c r="AQ125" s="1">
        <v>0</v>
      </c>
      <c r="AS125" s="1">
        <v>1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1.5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1.5</v>
      </c>
      <c r="BG125" s="1" t="s">
        <v>224</v>
      </c>
      <c r="BH125" s="1" t="s">
        <v>210</v>
      </c>
      <c r="BI125" s="1" t="s">
        <v>211</v>
      </c>
      <c r="BR125" s="1">
        <v>1</v>
      </c>
      <c r="BS125" s="1">
        <v>0</v>
      </c>
      <c r="BT125" s="1">
        <v>0</v>
      </c>
      <c r="BU125" s="1">
        <v>1</v>
      </c>
      <c r="BV125" s="1">
        <v>1</v>
      </c>
      <c r="BW125" s="1">
        <v>1</v>
      </c>
      <c r="BX125" s="1">
        <v>0</v>
      </c>
      <c r="BZ125" s="1">
        <v>1</v>
      </c>
      <c r="CF125" s="1">
        <f t="shared" si="20"/>
        <v>0</v>
      </c>
      <c r="CH125" s="1">
        <v>1.5</v>
      </c>
      <c r="CO125" s="1">
        <v>800</v>
      </c>
      <c r="CV125" s="1">
        <v>1.5</v>
      </c>
      <c r="DB125" s="7">
        <f t="shared" si="21"/>
        <v>0.53333333333333333</v>
      </c>
      <c r="DC125" s="5">
        <f t="shared" si="22"/>
        <v>1</v>
      </c>
      <c r="DE125" s="1">
        <v>3333</v>
      </c>
      <c r="DL125" s="1">
        <v>5</v>
      </c>
      <c r="DR125" s="1">
        <f t="shared" si="23"/>
        <v>5</v>
      </c>
      <c r="DZ125" s="1">
        <f t="shared" si="24"/>
        <v>0</v>
      </c>
      <c r="EC125" s="1">
        <v>1</v>
      </c>
      <c r="EF125" s="1">
        <f t="shared" si="25"/>
        <v>1</v>
      </c>
      <c r="EH125" s="1">
        <v>0</v>
      </c>
      <c r="EN125" s="1">
        <f t="shared" si="26"/>
        <v>0</v>
      </c>
      <c r="EP125" s="1">
        <v>1</v>
      </c>
      <c r="EV125" s="1">
        <f t="shared" si="27"/>
        <v>1</v>
      </c>
      <c r="EX125" s="1">
        <v>1</v>
      </c>
      <c r="FE125" s="1">
        <v>1</v>
      </c>
      <c r="FK125" s="1">
        <f t="shared" si="28"/>
        <v>1</v>
      </c>
      <c r="FM125" s="1">
        <v>0</v>
      </c>
      <c r="FS125" s="1">
        <f t="shared" si="29"/>
        <v>0</v>
      </c>
      <c r="FU125" s="1">
        <v>0</v>
      </c>
      <c r="GA125" s="1">
        <f t="shared" si="30"/>
        <v>0</v>
      </c>
      <c r="GJ125" s="1">
        <v>0</v>
      </c>
      <c r="GP125" s="1">
        <f t="shared" si="31"/>
        <v>0</v>
      </c>
      <c r="GR125" s="1">
        <v>7000</v>
      </c>
      <c r="GX125" s="1">
        <f t="shared" si="32"/>
        <v>7</v>
      </c>
      <c r="GZ125" s="1">
        <v>1</v>
      </c>
      <c r="HF125" s="1">
        <f t="shared" si="33"/>
        <v>1</v>
      </c>
      <c r="HH125" s="1">
        <v>7.5</v>
      </c>
      <c r="HN125" s="1">
        <f t="shared" si="34"/>
        <v>7.5</v>
      </c>
      <c r="HP125" s="1">
        <v>0</v>
      </c>
      <c r="HV125" s="1">
        <f t="shared" si="35"/>
        <v>0</v>
      </c>
      <c r="IK125" s="1">
        <v>0</v>
      </c>
      <c r="IL125" s="1">
        <v>60</v>
      </c>
      <c r="IM125" s="1">
        <v>12</v>
      </c>
      <c r="IN125" s="1">
        <v>60</v>
      </c>
      <c r="IO125" s="1">
        <v>0</v>
      </c>
    </row>
    <row r="126" spans="1:249" x14ac:dyDescent="0.25">
      <c r="A126" s="1">
        <v>125</v>
      </c>
      <c r="B126" s="1" t="s">
        <v>237</v>
      </c>
      <c r="C126" s="1" t="s">
        <v>194</v>
      </c>
      <c r="D126" s="1" t="s">
        <v>290</v>
      </c>
      <c r="E126" s="1" t="s">
        <v>297</v>
      </c>
      <c r="F126" s="1">
        <v>0</v>
      </c>
      <c r="G126" s="1">
        <v>1</v>
      </c>
      <c r="H126" s="1">
        <v>0</v>
      </c>
      <c r="I126" s="1">
        <v>75</v>
      </c>
      <c r="J126" s="1">
        <v>1</v>
      </c>
      <c r="K126" s="1">
        <v>1</v>
      </c>
      <c r="M126" s="1">
        <v>0</v>
      </c>
      <c r="N126" s="1">
        <v>1</v>
      </c>
      <c r="O126" s="1">
        <v>1</v>
      </c>
      <c r="P126" s="1">
        <v>20</v>
      </c>
      <c r="Q126" s="1">
        <v>200</v>
      </c>
      <c r="R126" s="1">
        <v>1</v>
      </c>
      <c r="S126" s="1" t="s">
        <v>197</v>
      </c>
      <c r="T126" s="1">
        <v>1</v>
      </c>
      <c r="U126" s="1">
        <v>275</v>
      </c>
      <c r="V126" s="1">
        <v>0</v>
      </c>
      <c r="X126" s="1">
        <v>2</v>
      </c>
      <c r="Y126" s="1">
        <f t="shared" si="18"/>
        <v>1</v>
      </c>
      <c r="Z126" s="1">
        <f t="shared" si="19"/>
        <v>0</v>
      </c>
      <c r="AA126" s="1">
        <v>6</v>
      </c>
      <c r="AC126" s="1">
        <v>0</v>
      </c>
      <c r="AD126" s="1">
        <v>0</v>
      </c>
      <c r="AE126" s="1">
        <v>1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1</v>
      </c>
      <c r="AM126" s="1">
        <v>10</v>
      </c>
      <c r="AO126" s="1">
        <v>1</v>
      </c>
      <c r="AP126" s="1">
        <v>0</v>
      </c>
      <c r="AQ126" s="1">
        <v>0</v>
      </c>
      <c r="AS126" s="1">
        <v>1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2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5</v>
      </c>
      <c r="BG126" s="1" t="s">
        <v>224</v>
      </c>
      <c r="BH126" s="1" t="s">
        <v>210</v>
      </c>
      <c r="BI126" s="1" t="s">
        <v>211</v>
      </c>
      <c r="BR126" s="1">
        <v>1</v>
      </c>
      <c r="BS126" s="1">
        <v>0</v>
      </c>
      <c r="BT126" s="1">
        <v>0</v>
      </c>
      <c r="BU126" s="1">
        <v>1</v>
      </c>
      <c r="BV126" s="1">
        <v>0</v>
      </c>
      <c r="BW126" s="1">
        <v>1</v>
      </c>
      <c r="BX126" s="1">
        <v>1</v>
      </c>
      <c r="BZ126" s="1">
        <v>1</v>
      </c>
      <c r="CF126" s="1">
        <f t="shared" si="20"/>
        <v>0</v>
      </c>
      <c r="CH126" s="1">
        <v>2</v>
      </c>
      <c r="CO126" s="1">
        <v>800</v>
      </c>
      <c r="CV126" s="1">
        <v>1</v>
      </c>
      <c r="DB126" s="7">
        <f t="shared" si="21"/>
        <v>0.8</v>
      </c>
      <c r="DC126" s="5">
        <f t="shared" si="22"/>
        <v>2</v>
      </c>
      <c r="DE126" s="1">
        <v>3000</v>
      </c>
      <c r="DL126" s="1">
        <v>6</v>
      </c>
      <c r="DR126" s="1">
        <f t="shared" si="23"/>
        <v>6</v>
      </c>
      <c r="DZ126" s="1">
        <f t="shared" si="24"/>
        <v>0</v>
      </c>
      <c r="EF126" s="1">
        <f t="shared" si="25"/>
        <v>0</v>
      </c>
      <c r="EH126" s="1">
        <v>0</v>
      </c>
      <c r="EN126" s="1">
        <f t="shared" si="26"/>
        <v>0</v>
      </c>
      <c r="EP126" s="1">
        <v>1</v>
      </c>
      <c r="EV126" s="1">
        <f t="shared" si="27"/>
        <v>1</v>
      </c>
      <c r="EX126" s="1">
        <v>1</v>
      </c>
      <c r="FE126" s="1">
        <v>1</v>
      </c>
      <c r="FK126" s="1">
        <f t="shared" si="28"/>
        <v>1</v>
      </c>
      <c r="FM126" s="1">
        <v>0</v>
      </c>
      <c r="FS126" s="1">
        <f t="shared" si="29"/>
        <v>0</v>
      </c>
      <c r="FU126" s="1">
        <v>0</v>
      </c>
      <c r="GA126" s="1">
        <f t="shared" si="30"/>
        <v>0</v>
      </c>
      <c r="GJ126" s="1">
        <v>0</v>
      </c>
      <c r="GP126" s="1">
        <f t="shared" si="31"/>
        <v>0</v>
      </c>
      <c r="GR126" s="1">
        <v>10000</v>
      </c>
      <c r="GX126" s="1">
        <f t="shared" si="32"/>
        <v>10</v>
      </c>
      <c r="GZ126" s="1">
        <v>1</v>
      </c>
      <c r="HF126" s="1">
        <f t="shared" si="33"/>
        <v>1</v>
      </c>
      <c r="HH126" s="1">
        <v>10</v>
      </c>
      <c r="HN126" s="1">
        <f t="shared" si="34"/>
        <v>10</v>
      </c>
      <c r="HP126" s="1">
        <v>0</v>
      </c>
      <c r="HV126" s="1">
        <f t="shared" si="35"/>
        <v>0</v>
      </c>
      <c r="IK126" s="1">
        <v>0</v>
      </c>
      <c r="IL126" s="1">
        <v>80</v>
      </c>
      <c r="IM126" s="1">
        <v>0</v>
      </c>
      <c r="IN126" s="1">
        <v>80</v>
      </c>
      <c r="IO126" s="1">
        <v>32</v>
      </c>
    </row>
    <row r="127" spans="1:249" x14ac:dyDescent="0.25">
      <c r="A127" s="1">
        <v>126</v>
      </c>
      <c r="B127" s="1" t="s">
        <v>237</v>
      </c>
      <c r="C127" s="1" t="s">
        <v>194</v>
      </c>
      <c r="D127" s="1" t="s">
        <v>295</v>
      </c>
      <c r="E127" s="1" t="s">
        <v>296</v>
      </c>
      <c r="F127" s="1">
        <v>0</v>
      </c>
      <c r="G127" s="1">
        <v>0</v>
      </c>
      <c r="H127" s="1">
        <v>1</v>
      </c>
      <c r="I127" s="1">
        <v>67</v>
      </c>
      <c r="J127" s="1">
        <v>1</v>
      </c>
      <c r="K127" s="1">
        <v>1</v>
      </c>
      <c r="M127" s="1">
        <v>1</v>
      </c>
      <c r="N127" s="1">
        <v>1</v>
      </c>
      <c r="O127" s="1">
        <v>2</v>
      </c>
      <c r="P127" s="1">
        <v>32</v>
      </c>
      <c r="Q127" s="1">
        <v>600</v>
      </c>
      <c r="R127" s="1">
        <v>1</v>
      </c>
      <c r="S127" s="1" t="s">
        <v>197</v>
      </c>
      <c r="T127" s="1">
        <v>1</v>
      </c>
      <c r="U127" s="1">
        <v>600</v>
      </c>
      <c r="V127" s="1">
        <v>0</v>
      </c>
      <c r="X127" s="1">
        <v>3</v>
      </c>
      <c r="Y127" s="1">
        <f t="shared" si="18"/>
        <v>1</v>
      </c>
      <c r="Z127" s="1">
        <f t="shared" si="19"/>
        <v>0</v>
      </c>
      <c r="AA127" s="1">
        <v>6</v>
      </c>
      <c r="AC127" s="1">
        <v>0</v>
      </c>
      <c r="AD127" s="1">
        <v>0</v>
      </c>
      <c r="AE127" s="1">
        <v>1</v>
      </c>
      <c r="AF127" s="1">
        <v>1</v>
      </c>
      <c r="AG127" s="1">
        <v>1</v>
      </c>
      <c r="AH127" s="1">
        <v>1</v>
      </c>
      <c r="AI127" s="1">
        <v>1</v>
      </c>
      <c r="AJ127" s="1">
        <v>0</v>
      </c>
      <c r="AK127" s="1">
        <v>0</v>
      </c>
      <c r="AL127" s="1">
        <v>0</v>
      </c>
      <c r="AM127" s="1">
        <v>0</v>
      </c>
      <c r="AO127" s="1">
        <v>1</v>
      </c>
      <c r="AP127" s="1">
        <v>0</v>
      </c>
      <c r="AQ127" s="1">
        <v>0</v>
      </c>
      <c r="AS127" s="1">
        <v>1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2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1</v>
      </c>
      <c r="BG127" s="1" t="s">
        <v>224</v>
      </c>
      <c r="BR127" s="1">
        <v>1</v>
      </c>
      <c r="BS127" s="1">
        <v>0</v>
      </c>
      <c r="BT127" s="1">
        <v>0</v>
      </c>
      <c r="BU127" s="1">
        <v>1</v>
      </c>
      <c r="BV127" s="1">
        <v>1</v>
      </c>
      <c r="BW127" s="1">
        <v>1</v>
      </c>
      <c r="BX127" s="1">
        <v>0</v>
      </c>
      <c r="BZ127" s="1">
        <v>1</v>
      </c>
      <c r="CF127" s="1">
        <f t="shared" si="20"/>
        <v>0</v>
      </c>
      <c r="CH127" s="1">
        <v>2</v>
      </c>
      <c r="CO127" s="1">
        <v>500</v>
      </c>
      <c r="CV127" s="1">
        <v>2</v>
      </c>
      <c r="DB127" s="7">
        <f t="shared" si="21"/>
        <v>0.25</v>
      </c>
      <c r="DC127" s="5">
        <f t="shared" si="22"/>
        <v>1</v>
      </c>
      <c r="DE127" s="1">
        <v>3000</v>
      </c>
      <c r="DL127" s="1">
        <v>8</v>
      </c>
      <c r="DR127" s="1">
        <f t="shared" si="23"/>
        <v>8</v>
      </c>
      <c r="DT127" s="1">
        <v>1</v>
      </c>
      <c r="DZ127" s="1">
        <f t="shared" si="24"/>
        <v>1</v>
      </c>
      <c r="ED127" s="1">
        <v>1</v>
      </c>
      <c r="EF127" s="1">
        <f t="shared" si="25"/>
        <v>1</v>
      </c>
      <c r="EH127" s="1">
        <v>1</v>
      </c>
      <c r="EN127" s="1">
        <f t="shared" si="26"/>
        <v>1</v>
      </c>
      <c r="EP127" s="1">
        <v>1</v>
      </c>
      <c r="EV127" s="1">
        <f t="shared" si="27"/>
        <v>1</v>
      </c>
      <c r="EX127" s="1">
        <v>1</v>
      </c>
      <c r="FE127" s="1">
        <v>1</v>
      </c>
      <c r="FK127" s="1">
        <f t="shared" si="28"/>
        <v>1</v>
      </c>
      <c r="FM127" s="1">
        <v>0</v>
      </c>
      <c r="FS127" s="1">
        <f t="shared" si="29"/>
        <v>0</v>
      </c>
      <c r="FU127" s="1">
        <v>1</v>
      </c>
      <c r="GA127" s="1">
        <f t="shared" si="30"/>
        <v>1</v>
      </c>
      <c r="GC127" s="1" t="s">
        <v>294</v>
      </c>
      <c r="GJ127" s="1">
        <v>0</v>
      </c>
      <c r="GP127" s="1">
        <f t="shared" si="31"/>
        <v>0</v>
      </c>
      <c r="GR127" s="1">
        <v>1000</v>
      </c>
      <c r="GX127" s="1">
        <f t="shared" si="32"/>
        <v>1</v>
      </c>
      <c r="GZ127" s="1">
        <v>1</v>
      </c>
      <c r="HF127" s="1">
        <f t="shared" si="33"/>
        <v>1</v>
      </c>
      <c r="HH127" s="1">
        <v>10</v>
      </c>
      <c r="HN127" s="1">
        <f t="shared" si="34"/>
        <v>10</v>
      </c>
      <c r="HP127" s="1">
        <v>0</v>
      </c>
      <c r="HV127" s="1">
        <f t="shared" si="35"/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</row>
    <row r="128" spans="1:249" x14ac:dyDescent="0.25">
      <c r="A128" s="1">
        <v>127</v>
      </c>
      <c r="B128" s="1" t="s">
        <v>237</v>
      </c>
      <c r="C128" s="1" t="s">
        <v>194</v>
      </c>
      <c r="D128" s="1" t="s">
        <v>295</v>
      </c>
      <c r="E128" s="1" t="s">
        <v>296</v>
      </c>
      <c r="F128" s="1">
        <v>0</v>
      </c>
      <c r="G128" s="1">
        <v>0</v>
      </c>
      <c r="H128" s="1">
        <v>1</v>
      </c>
      <c r="I128" s="1">
        <v>42</v>
      </c>
      <c r="J128" s="1">
        <v>1</v>
      </c>
      <c r="K128" s="1">
        <v>1</v>
      </c>
      <c r="M128" s="1">
        <v>0</v>
      </c>
      <c r="N128" s="1">
        <v>1</v>
      </c>
      <c r="O128" s="1">
        <v>3</v>
      </c>
      <c r="P128" s="1">
        <v>42</v>
      </c>
      <c r="Q128" s="1">
        <v>600</v>
      </c>
      <c r="R128" s="1">
        <v>0</v>
      </c>
      <c r="T128" s="1">
        <v>1</v>
      </c>
      <c r="U128" s="1">
        <v>600</v>
      </c>
      <c r="V128" s="1">
        <v>0</v>
      </c>
      <c r="X128" s="1">
        <v>3</v>
      </c>
      <c r="Y128" s="1">
        <f t="shared" si="18"/>
        <v>1</v>
      </c>
      <c r="Z128" s="1">
        <f t="shared" si="19"/>
        <v>0</v>
      </c>
      <c r="AA128" s="1">
        <v>6</v>
      </c>
      <c r="AC128" s="1">
        <v>0</v>
      </c>
      <c r="AD128" s="1">
        <v>0</v>
      </c>
      <c r="AE128" s="1">
        <v>1</v>
      </c>
      <c r="AF128" s="1">
        <v>1</v>
      </c>
      <c r="AG128" s="1">
        <v>1</v>
      </c>
      <c r="AH128" s="1">
        <v>1</v>
      </c>
      <c r="AI128" s="1">
        <v>1</v>
      </c>
      <c r="AJ128" s="1">
        <v>0</v>
      </c>
      <c r="AK128" s="1">
        <v>0</v>
      </c>
      <c r="AL128" s="1">
        <v>1</v>
      </c>
      <c r="AM128" s="1">
        <v>7</v>
      </c>
      <c r="AO128" s="1">
        <v>1</v>
      </c>
      <c r="AP128" s="1">
        <v>0</v>
      </c>
      <c r="AQ128" s="1">
        <v>0</v>
      </c>
      <c r="AS128" s="1">
        <v>1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1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0.5</v>
      </c>
      <c r="BG128" s="1" t="s">
        <v>224</v>
      </c>
      <c r="BR128" s="1">
        <v>0</v>
      </c>
      <c r="BS128" s="1">
        <v>0</v>
      </c>
      <c r="BT128" s="1">
        <v>0</v>
      </c>
      <c r="BU128" s="1">
        <v>1</v>
      </c>
      <c r="BV128" s="1">
        <v>1</v>
      </c>
      <c r="BW128" s="1">
        <v>1</v>
      </c>
      <c r="BX128" s="1">
        <v>0</v>
      </c>
      <c r="BZ128" s="1">
        <v>1</v>
      </c>
      <c r="CF128" s="1">
        <f t="shared" si="20"/>
        <v>0</v>
      </c>
      <c r="CH128" s="1">
        <v>1</v>
      </c>
      <c r="CO128" s="1">
        <v>400</v>
      </c>
      <c r="CV128" s="1">
        <v>1</v>
      </c>
      <c r="DB128" s="7">
        <f t="shared" si="21"/>
        <v>0.4</v>
      </c>
      <c r="DC128" s="5">
        <f t="shared" si="22"/>
        <v>1</v>
      </c>
      <c r="DE128" s="1">
        <v>3000</v>
      </c>
      <c r="DL128" s="1">
        <v>7</v>
      </c>
      <c r="DR128" s="1">
        <f t="shared" si="23"/>
        <v>7</v>
      </c>
      <c r="DT128" s="1">
        <v>1</v>
      </c>
      <c r="DZ128" s="1">
        <f t="shared" si="24"/>
        <v>1</v>
      </c>
      <c r="ED128" s="1">
        <v>1</v>
      </c>
      <c r="EF128" s="1">
        <f t="shared" si="25"/>
        <v>1</v>
      </c>
      <c r="EH128" s="1">
        <v>0</v>
      </c>
      <c r="EN128" s="1">
        <f t="shared" si="26"/>
        <v>0</v>
      </c>
      <c r="EP128" s="1">
        <v>1</v>
      </c>
      <c r="EV128" s="1">
        <f t="shared" si="27"/>
        <v>1</v>
      </c>
      <c r="EX128" s="1">
        <v>1</v>
      </c>
      <c r="FE128" s="1">
        <v>1</v>
      </c>
      <c r="FK128" s="1">
        <f t="shared" si="28"/>
        <v>1</v>
      </c>
      <c r="FM128" s="1">
        <v>0</v>
      </c>
      <c r="FS128" s="1">
        <f t="shared" si="29"/>
        <v>0</v>
      </c>
      <c r="FU128" s="1">
        <v>0</v>
      </c>
      <c r="GA128" s="1">
        <f t="shared" si="30"/>
        <v>0</v>
      </c>
      <c r="GJ128" s="1">
        <v>0</v>
      </c>
      <c r="GP128" s="1">
        <f t="shared" si="31"/>
        <v>0</v>
      </c>
      <c r="GR128" s="1">
        <v>1000</v>
      </c>
      <c r="GX128" s="1">
        <f t="shared" si="32"/>
        <v>1</v>
      </c>
      <c r="GZ128" s="1">
        <v>1</v>
      </c>
      <c r="HF128" s="1">
        <f t="shared" si="33"/>
        <v>1</v>
      </c>
      <c r="HH128" s="1">
        <v>10</v>
      </c>
      <c r="HN128" s="1">
        <f t="shared" si="34"/>
        <v>10</v>
      </c>
      <c r="HP128" s="1">
        <v>0</v>
      </c>
      <c r="HV128" s="1">
        <f t="shared" si="35"/>
        <v>0</v>
      </c>
      <c r="IK128" s="1">
        <v>0</v>
      </c>
      <c r="IL128" s="1">
        <v>0</v>
      </c>
      <c r="IM128" s="1">
        <v>0</v>
      </c>
      <c r="IN128" s="1">
        <v>40</v>
      </c>
      <c r="IO128" s="1">
        <v>0</v>
      </c>
    </row>
    <row r="129" spans="1:249" x14ac:dyDescent="0.25">
      <c r="A129" s="1">
        <v>128</v>
      </c>
      <c r="B129" s="1" t="s">
        <v>237</v>
      </c>
      <c r="C129" s="1" t="s">
        <v>194</v>
      </c>
      <c r="D129" s="1" t="s">
        <v>292</v>
      </c>
      <c r="E129" s="1" t="s">
        <v>292</v>
      </c>
      <c r="F129" s="1">
        <v>1</v>
      </c>
      <c r="G129" s="1">
        <v>0</v>
      </c>
      <c r="H129" s="1">
        <v>0</v>
      </c>
      <c r="I129" s="1">
        <v>40</v>
      </c>
      <c r="J129" s="1">
        <v>0</v>
      </c>
      <c r="K129" s="1">
        <v>1</v>
      </c>
      <c r="M129" s="1">
        <v>0</v>
      </c>
      <c r="N129" s="1">
        <v>1</v>
      </c>
      <c r="O129" s="1">
        <v>2</v>
      </c>
      <c r="P129" s="1">
        <v>25</v>
      </c>
      <c r="Q129" s="1">
        <v>600</v>
      </c>
      <c r="R129" s="1">
        <v>0</v>
      </c>
      <c r="T129" s="1">
        <v>1</v>
      </c>
      <c r="U129" s="1">
        <v>500</v>
      </c>
      <c r="V129" s="1">
        <v>1</v>
      </c>
      <c r="W129" s="1" t="s">
        <v>240</v>
      </c>
      <c r="X129" s="1">
        <v>2</v>
      </c>
      <c r="Y129" s="1">
        <f t="shared" si="18"/>
        <v>1</v>
      </c>
      <c r="Z129" s="1">
        <f t="shared" si="19"/>
        <v>0</v>
      </c>
      <c r="AA129" s="1">
        <v>6</v>
      </c>
      <c r="AC129" s="1">
        <v>1</v>
      </c>
      <c r="AD129" s="1">
        <v>1</v>
      </c>
      <c r="AE129" s="1">
        <v>1</v>
      </c>
      <c r="AF129" s="1">
        <v>1</v>
      </c>
      <c r="AG129" s="1">
        <v>1</v>
      </c>
      <c r="AH129" s="1">
        <v>0</v>
      </c>
      <c r="AI129" s="1">
        <v>1</v>
      </c>
      <c r="AJ129" s="1">
        <v>0</v>
      </c>
      <c r="AK129" s="1">
        <v>0</v>
      </c>
      <c r="AL129" s="1">
        <v>1</v>
      </c>
      <c r="AM129" s="1">
        <v>7</v>
      </c>
      <c r="AO129" s="1">
        <v>1</v>
      </c>
      <c r="AP129" s="1">
        <v>0</v>
      </c>
      <c r="AQ129" s="1">
        <v>0</v>
      </c>
      <c r="AS129" s="1">
        <v>1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2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2</v>
      </c>
      <c r="BG129" s="1" t="s">
        <v>224</v>
      </c>
      <c r="BR129" s="1">
        <v>0</v>
      </c>
      <c r="BS129" s="1">
        <v>0</v>
      </c>
      <c r="BT129" s="1">
        <v>0</v>
      </c>
      <c r="BU129" s="1">
        <v>1</v>
      </c>
      <c r="BV129" s="1">
        <v>1</v>
      </c>
      <c r="BW129" s="1">
        <v>1</v>
      </c>
      <c r="BX129" s="1">
        <v>0</v>
      </c>
      <c r="BZ129" s="1">
        <v>1</v>
      </c>
      <c r="CF129" s="1">
        <f t="shared" si="20"/>
        <v>0</v>
      </c>
      <c r="CH129" s="1">
        <v>2</v>
      </c>
      <c r="CO129" s="1">
        <v>1200</v>
      </c>
      <c r="CV129" s="1">
        <v>2</v>
      </c>
      <c r="DB129" s="7">
        <f t="shared" si="21"/>
        <v>0.6</v>
      </c>
      <c r="DC129" s="5">
        <f t="shared" si="22"/>
        <v>1</v>
      </c>
      <c r="DE129" s="1">
        <v>3000</v>
      </c>
      <c r="DL129" s="1">
        <v>7</v>
      </c>
      <c r="DR129" s="1">
        <f t="shared" si="23"/>
        <v>7</v>
      </c>
      <c r="DT129" s="1">
        <v>1</v>
      </c>
      <c r="DZ129" s="1">
        <f t="shared" si="24"/>
        <v>1</v>
      </c>
      <c r="EF129" s="1">
        <f t="shared" si="25"/>
        <v>0</v>
      </c>
      <c r="EH129" s="1">
        <v>1</v>
      </c>
      <c r="EN129" s="1">
        <f t="shared" si="26"/>
        <v>1</v>
      </c>
      <c r="EP129" s="1">
        <v>1</v>
      </c>
      <c r="EV129" s="1">
        <f t="shared" si="27"/>
        <v>1</v>
      </c>
      <c r="EX129" s="1">
        <v>1</v>
      </c>
      <c r="FE129" s="1">
        <v>1</v>
      </c>
      <c r="FK129" s="1">
        <f t="shared" si="28"/>
        <v>1</v>
      </c>
      <c r="FM129" s="1">
        <v>0</v>
      </c>
      <c r="FS129" s="1">
        <f t="shared" si="29"/>
        <v>0</v>
      </c>
      <c r="FU129" s="1">
        <v>1</v>
      </c>
      <c r="GA129" s="1">
        <f t="shared" si="30"/>
        <v>1</v>
      </c>
      <c r="GC129" s="1" t="s">
        <v>294</v>
      </c>
      <c r="GJ129" s="1">
        <v>0</v>
      </c>
      <c r="GP129" s="1">
        <f t="shared" si="31"/>
        <v>0</v>
      </c>
      <c r="GR129" s="1">
        <v>1500</v>
      </c>
      <c r="GX129" s="1">
        <f t="shared" si="32"/>
        <v>1.5</v>
      </c>
      <c r="GZ129" s="1">
        <v>1</v>
      </c>
      <c r="HF129" s="1">
        <f t="shared" si="33"/>
        <v>1</v>
      </c>
      <c r="HH129" s="1">
        <v>8.5</v>
      </c>
      <c r="HN129" s="1">
        <f t="shared" si="34"/>
        <v>8.5</v>
      </c>
      <c r="HP129" s="1">
        <v>0</v>
      </c>
      <c r="HV129" s="1">
        <f t="shared" si="35"/>
        <v>0</v>
      </c>
      <c r="IK129" s="1">
        <v>0</v>
      </c>
      <c r="IL129" s="1">
        <v>0</v>
      </c>
      <c r="IM129" s="1">
        <v>0</v>
      </c>
      <c r="IN129" s="1">
        <v>80</v>
      </c>
      <c r="IO129" s="1">
        <v>0</v>
      </c>
    </row>
    <row r="130" spans="1:249" x14ac:dyDescent="0.25">
      <c r="A130" s="1">
        <v>129</v>
      </c>
      <c r="B130" s="1" t="s">
        <v>237</v>
      </c>
      <c r="C130" s="1" t="s">
        <v>194</v>
      </c>
      <c r="D130" s="1" t="s">
        <v>292</v>
      </c>
      <c r="E130" s="1" t="s">
        <v>292</v>
      </c>
      <c r="F130" s="1">
        <v>1</v>
      </c>
      <c r="G130" s="1">
        <v>0</v>
      </c>
      <c r="H130" s="1">
        <v>0</v>
      </c>
      <c r="I130" s="1">
        <v>75</v>
      </c>
      <c r="J130" s="1">
        <v>1</v>
      </c>
      <c r="K130" s="1">
        <v>1</v>
      </c>
      <c r="M130" s="1">
        <v>1</v>
      </c>
      <c r="N130" s="1">
        <v>1</v>
      </c>
      <c r="O130" s="1">
        <v>1</v>
      </c>
      <c r="P130" s="1">
        <v>25</v>
      </c>
      <c r="Q130" s="1">
        <v>600</v>
      </c>
      <c r="R130" s="1">
        <v>1</v>
      </c>
      <c r="S130" s="1" t="s">
        <v>197</v>
      </c>
      <c r="T130" s="1">
        <v>1</v>
      </c>
      <c r="U130" s="1">
        <v>600</v>
      </c>
      <c r="V130" s="1">
        <v>1</v>
      </c>
      <c r="W130" s="1" t="s">
        <v>240</v>
      </c>
      <c r="X130" s="1">
        <v>3</v>
      </c>
      <c r="Y130" s="1">
        <f t="shared" si="18"/>
        <v>1</v>
      </c>
      <c r="Z130" s="1">
        <f t="shared" si="19"/>
        <v>0</v>
      </c>
      <c r="AA130" s="1">
        <v>7</v>
      </c>
      <c r="AC130" s="1">
        <v>0</v>
      </c>
      <c r="AD130" s="1">
        <v>1</v>
      </c>
      <c r="AE130" s="1">
        <v>1</v>
      </c>
      <c r="AF130" s="1">
        <v>1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1</v>
      </c>
      <c r="AM130" s="1">
        <v>8</v>
      </c>
      <c r="AO130" s="1">
        <v>1</v>
      </c>
      <c r="AP130" s="1">
        <v>0</v>
      </c>
      <c r="AQ130" s="1">
        <v>0</v>
      </c>
      <c r="AS130" s="1">
        <v>1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1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1.5</v>
      </c>
      <c r="BG130" s="1" t="s">
        <v>224</v>
      </c>
      <c r="BR130" s="1">
        <v>0</v>
      </c>
      <c r="BS130" s="1">
        <v>0</v>
      </c>
      <c r="BT130" s="1">
        <v>0</v>
      </c>
      <c r="BU130" s="1">
        <v>1</v>
      </c>
      <c r="BV130" s="1">
        <v>1</v>
      </c>
      <c r="BW130" s="1">
        <v>1</v>
      </c>
      <c r="BX130" s="1">
        <v>0</v>
      </c>
      <c r="BZ130" s="1">
        <v>1</v>
      </c>
      <c r="CF130" s="1">
        <f t="shared" si="20"/>
        <v>0</v>
      </c>
      <c r="CH130" s="1">
        <v>1</v>
      </c>
      <c r="CO130" s="1">
        <v>1250</v>
      </c>
      <c r="CV130" s="1">
        <v>1</v>
      </c>
      <c r="DB130" s="7">
        <f t="shared" si="21"/>
        <v>1.25</v>
      </c>
      <c r="DC130" s="5">
        <f t="shared" si="22"/>
        <v>3</v>
      </c>
      <c r="DE130" s="1">
        <v>3000</v>
      </c>
      <c r="DL130" s="1">
        <v>8</v>
      </c>
      <c r="DR130" s="1">
        <f t="shared" si="23"/>
        <v>8</v>
      </c>
      <c r="DT130" s="1">
        <v>1</v>
      </c>
      <c r="DZ130" s="1">
        <f t="shared" si="24"/>
        <v>1</v>
      </c>
      <c r="EC130" s="1">
        <v>1</v>
      </c>
      <c r="EF130" s="1">
        <f t="shared" si="25"/>
        <v>1</v>
      </c>
      <c r="EH130" s="1">
        <v>1</v>
      </c>
      <c r="EN130" s="1">
        <f t="shared" si="26"/>
        <v>1</v>
      </c>
      <c r="EP130" s="1">
        <v>1</v>
      </c>
      <c r="EV130" s="1">
        <f t="shared" si="27"/>
        <v>1</v>
      </c>
      <c r="EX130" s="1">
        <v>1</v>
      </c>
      <c r="FE130" s="1">
        <v>1</v>
      </c>
      <c r="FK130" s="1">
        <f t="shared" si="28"/>
        <v>1</v>
      </c>
      <c r="FM130" s="1">
        <v>0</v>
      </c>
      <c r="FS130" s="1">
        <f t="shared" si="29"/>
        <v>0</v>
      </c>
      <c r="FU130" s="1">
        <v>1</v>
      </c>
      <c r="GA130" s="1">
        <f t="shared" si="30"/>
        <v>1</v>
      </c>
      <c r="GC130" s="1" t="s">
        <v>294</v>
      </c>
      <c r="GJ130" s="1">
        <v>0</v>
      </c>
      <c r="GP130" s="1">
        <f t="shared" si="31"/>
        <v>0</v>
      </c>
      <c r="GR130" s="1">
        <v>1000</v>
      </c>
      <c r="GX130" s="1">
        <f t="shared" si="32"/>
        <v>1</v>
      </c>
      <c r="GZ130" s="1">
        <v>1</v>
      </c>
      <c r="HF130" s="1">
        <f t="shared" si="33"/>
        <v>1</v>
      </c>
      <c r="HH130" s="1">
        <v>12</v>
      </c>
      <c r="HN130" s="1">
        <f t="shared" si="34"/>
        <v>12</v>
      </c>
      <c r="HP130" s="1">
        <v>0</v>
      </c>
      <c r="HV130" s="1">
        <f t="shared" si="35"/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</row>
    <row r="131" spans="1:249" x14ac:dyDescent="0.25">
      <c r="A131" s="1">
        <v>130</v>
      </c>
      <c r="B131" s="1" t="s">
        <v>237</v>
      </c>
      <c r="C131" s="1" t="s">
        <v>194</v>
      </c>
      <c r="D131" s="1" t="s">
        <v>292</v>
      </c>
      <c r="E131" s="1" t="s">
        <v>292</v>
      </c>
      <c r="F131" s="1">
        <v>1</v>
      </c>
      <c r="G131" s="1">
        <v>0</v>
      </c>
      <c r="H131" s="1">
        <v>0</v>
      </c>
      <c r="I131" s="1">
        <v>50</v>
      </c>
      <c r="J131" s="1">
        <v>1</v>
      </c>
      <c r="K131" s="1">
        <v>1</v>
      </c>
      <c r="M131" s="1">
        <v>0</v>
      </c>
      <c r="N131" s="1">
        <v>1</v>
      </c>
      <c r="O131" s="1">
        <v>4</v>
      </c>
      <c r="P131" s="1">
        <v>50</v>
      </c>
      <c r="Q131" s="1">
        <v>600</v>
      </c>
      <c r="R131" s="1">
        <v>0</v>
      </c>
      <c r="T131" s="1">
        <v>1</v>
      </c>
      <c r="U131" s="1">
        <v>600</v>
      </c>
      <c r="V131" s="1">
        <v>1</v>
      </c>
      <c r="W131" s="1" t="s">
        <v>240</v>
      </c>
      <c r="X131" s="1">
        <v>3</v>
      </c>
      <c r="Y131" s="1">
        <f t="shared" ref="Y131:Y153" si="36">IF(X131=2,1,IF(X131=3,1,0))</f>
        <v>1</v>
      </c>
      <c r="Z131" s="1">
        <f t="shared" ref="Z131:Z153" si="37">IF(X131=4,1,IF(X131=5,1,0))</f>
        <v>0</v>
      </c>
      <c r="AA131" s="1">
        <v>5</v>
      </c>
      <c r="AC131" s="1">
        <v>0</v>
      </c>
      <c r="AD131" s="1">
        <v>0</v>
      </c>
      <c r="AE131" s="1">
        <v>1</v>
      </c>
      <c r="AF131" s="1">
        <v>1</v>
      </c>
      <c r="AG131" s="1">
        <v>1</v>
      </c>
      <c r="AH131" s="1">
        <v>0</v>
      </c>
      <c r="AI131" s="1">
        <v>1</v>
      </c>
      <c r="AJ131" s="1">
        <v>0</v>
      </c>
      <c r="AK131" s="1">
        <v>0</v>
      </c>
      <c r="AL131" s="1">
        <v>1</v>
      </c>
      <c r="AM131" s="1">
        <v>8</v>
      </c>
      <c r="AO131" s="1">
        <v>1</v>
      </c>
      <c r="AP131" s="1">
        <v>0</v>
      </c>
      <c r="AQ131" s="1">
        <v>0</v>
      </c>
      <c r="AS131" s="1">
        <v>1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2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G131" s="1" t="s">
        <v>224</v>
      </c>
      <c r="BR131" s="1">
        <v>0</v>
      </c>
      <c r="BS131" s="1">
        <v>0</v>
      </c>
      <c r="BT131" s="1">
        <v>1</v>
      </c>
      <c r="BU131" s="1">
        <v>1</v>
      </c>
      <c r="BV131" s="1">
        <v>1</v>
      </c>
      <c r="BW131" s="1">
        <v>1</v>
      </c>
      <c r="BX131" s="1">
        <v>0</v>
      </c>
      <c r="BZ131" s="1">
        <v>1</v>
      </c>
      <c r="CF131" s="1">
        <f t="shared" ref="CF131:CF153" si="38">IF(SUM(BZ131:CE131)=1,0,1)</f>
        <v>0</v>
      </c>
      <c r="CH131" s="1">
        <v>2</v>
      </c>
      <c r="CO131" s="1">
        <v>1200</v>
      </c>
      <c r="CV131" s="1">
        <v>2</v>
      </c>
      <c r="DB131" s="7">
        <f t="shared" ref="DB131:DB153" si="39">(SUM(CO131:CT131)/SUM(CV131:DA131))/1000</f>
        <v>0.6</v>
      </c>
      <c r="DC131" s="5">
        <f t="shared" ref="DC131:DC153" si="40">IF(DB131&lt;=0.6,1,IF(DB131&lt;=0.8,2,3))</f>
        <v>1</v>
      </c>
      <c r="DE131" s="1">
        <v>3000</v>
      </c>
      <c r="DL131" s="1">
        <v>8</v>
      </c>
      <c r="DR131" s="1">
        <f t="shared" ref="DR131:DR153" si="41">MAX(DL131:DQ131)</f>
        <v>8</v>
      </c>
      <c r="DT131" s="1">
        <v>1</v>
      </c>
      <c r="DZ131" s="1">
        <f t="shared" ref="DZ131:DZ153" si="42">IF(SUM(DT131:DY131)=0,0,1)</f>
        <v>1</v>
      </c>
      <c r="EF131" s="1">
        <f t="shared" ref="EF131:EF153" si="43">IF(SUM(EB131:EE131)=0,0,1)</f>
        <v>0</v>
      </c>
      <c r="EH131" s="1">
        <v>1</v>
      </c>
      <c r="EN131" s="1">
        <f t="shared" ref="EN131:EN153" si="44">IF(SUM(EH131:EM131)=0,0,1)</f>
        <v>1</v>
      </c>
      <c r="EP131" s="1">
        <v>1</v>
      </c>
      <c r="EV131" s="1">
        <f t="shared" ref="EV131:EV153" si="45">IF(SUM(EP131:EU131)=0,0,1)</f>
        <v>1</v>
      </c>
      <c r="EX131" s="1">
        <v>1</v>
      </c>
      <c r="FE131" s="1">
        <v>1</v>
      </c>
      <c r="FK131" s="1">
        <f t="shared" ref="FK131:FK153" si="46">IF(SUM(FE131:FJ131)=0,0,1)</f>
        <v>1</v>
      </c>
      <c r="FM131" s="1">
        <v>0</v>
      </c>
      <c r="FS131" s="1">
        <f t="shared" ref="FS131:FS153" si="47">IF(SUM(FM131:FR131)=0,0,1)</f>
        <v>0</v>
      </c>
      <c r="FU131" s="1">
        <v>1</v>
      </c>
      <c r="GA131" s="1">
        <f t="shared" ref="GA131:GA153" si="48">IF(SUM(FU131:FZ131)=0,0,1)</f>
        <v>1</v>
      </c>
      <c r="GC131" s="1" t="s">
        <v>294</v>
      </c>
      <c r="GJ131" s="1">
        <v>0</v>
      </c>
      <c r="GP131" s="1">
        <f t="shared" ref="GP131:GP153" si="49">SUM(GJ131:GO131)</f>
        <v>0</v>
      </c>
      <c r="GR131" s="1">
        <v>1200</v>
      </c>
      <c r="GX131" s="1">
        <f t="shared" ref="GX131:GX153" si="50">SUM(GR131:GW131)/1000</f>
        <v>1.2</v>
      </c>
      <c r="GZ131" s="1">
        <v>1</v>
      </c>
      <c r="HF131" s="1">
        <f t="shared" ref="HF131:HF153" si="51">IF(SUM(GZ131:HE131)&gt;=1,1,0)</f>
        <v>1</v>
      </c>
      <c r="HH131" s="1">
        <v>8</v>
      </c>
      <c r="HN131" s="1">
        <f t="shared" ref="HN131:HN153" si="52">AVERAGE(HH131:HM131)</f>
        <v>8</v>
      </c>
      <c r="HP131" s="1">
        <v>0</v>
      </c>
      <c r="HV131" s="1">
        <f t="shared" ref="HV131:HV153" si="53">IF(SUM(HP131:HU131)&gt;=1,1,0)</f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</row>
    <row r="132" spans="1:249" x14ac:dyDescent="0.25">
      <c r="A132" s="1">
        <v>131</v>
      </c>
      <c r="B132" s="1" t="s">
        <v>237</v>
      </c>
      <c r="C132" s="1" t="s">
        <v>194</v>
      </c>
      <c r="D132" s="1" t="s">
        <v>292</v>
      </c>
      <c r="E132" s="1" t="s">
        <v>292</v>
      </c>
      <c r="F132" s="1">
        <v>1</v>
      </c>
      <c r="G132" s="1">
        <v>0</v>
      </c>
      <c r="H132" s="1">
        <v>0</v>
      </c>
      <c r="I132" s="1">
        <v>72</v>
      </c>
      <c r="J132" s="1">
        <v>1</v>
      </c>
      <c r="K132" s="1">
        <v>1</v>
      </c>
      <c r="M132" s="1">
        <v>0</v>
      </c>
      <c r="N132" s="1">
        <v>1</v>
      </c>
      <c r="O132" s="1">
        <v>1</v>
      </c>
      <c r="P132" s="1">
        <v>40</v>
      </c>
      <c r="Q132" s="1">
        <v>600</v>
      </c>
      <c r="R132" s="1">
        <v>0</v>
      </c>
      <c r="T132" s="1">
        <v>1</v>
      </c>
      <c r="U132" s="1">
        <v>600</v>
      </c>
      <c r="V132" s="1">
        <v>1</v>
      </c>
      <c r="W132" s="1" t="s">
        <v>240</v>
      </c>
      <c r="X132" s="1">
        <v>3</v>
      </c>
      <c r="Y132" s="1">
        <f t="shared" si="36"/>
        <v>1</v>
      </c>
      <c r="Z132" s="1">
        <f t="shared" si="37"/>
        <v>0</v>
      </c>
      <c r="AA132" s="1">
        <v>6</v>
      </c>
      <c r="AC132" s="1">
        <v>0</v>
      </c>
      <c r="AD132" s="1">
        <v>0</v>
      </c>
      <c r="AE132" s="1">
        <v>1</v>
      </c>
      <c r="AF132" s="1">
        <v>1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1</v>
      </c>
      <c r="AM132" s="1">
        <v>8</v>
      </c>
      <c r="AO132" s="1">
        <v>1</v>
      </c>
      <c r="AP132" s="1">
        <v>0</v>
      </c>
      <c r="AQ132" s="1">
        <v>0</v>
      </c>
      <c r="AS132" s="1">
        <v>1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2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1</v>
      </c>
      <c r="BG132" s="1" t="s">
        <v>224</v>
      </c>
      <c r="BR132" s="1">
        <v>0</v>
      </c>
      <c r="BS132" s="1">
        <v>0</v>
      </c>
      <c r="BT132" s="1">
        <v>0</v>
      </c>
      <c r="BU132" s="1">
        <v>1</v>
      </c>
      <c r="BV132" s="1">
        <v>1</v>
      </c>
      <c r="BW132" s="1">
        <v>1</v>
      </c>
      <c r="BX132" s="1">
        <v>0</v>
      </c>
      <c r="BZ132" s="1">
        <v>1</v>
      </c>
      <c r="CF132" s="1">
        <f t="shared" si="38"/>
        <v>0</v>
      </c>
      <c r="CH132" s="1">
        <v>1.5</v>
      </c>
      <c r="CO132" s="1">
        <v>1250</v>
      </c>
      <c r="CV132" s="1">
        <v>1.5</v>
      </c>
      <c r="DB132" s="7">
        <f t="shared" si="39"/>
        <v>0.83333333333333337</v>
      </c>
      <c r="DC132" s="5">
        <f t="shared" si="40"/>
        <v>3</v>
      </c>
      <c r="DE132" s="1">
        <v>3000</v>
      </c>
      <c r="DL132" s="1">
        <v>8</v>
      </c>
      <c r="DR132" s="1">
        <f t="shared" si="41"/>
        <v>8</v>
      </c>
      <c r="DT132" s="1">
        <v>1</v>
      </c>
      <c r="DZ132" s="1">
        <f t="shared" si="42"/>
        <v>1</v>
      </c>
      <c r="EC132" s="1">
        <v>1</v>
      </c>
      <c r="EF132" s="1">
        <f t="shared" si="43"/>
        <v>1</v>
      </c>
      <c r="EH132" s="1">
        <v>1</v>
      </c>
      <c r="EN132" s="1">
        <f t="shared" si="44"/>
        <v>1</v>
      </c>
      <c r="EP132" s="1">
        <v>1</v>
      </c>
      <c r="EV132" s="1">
        <f t="shared" si="45"/>
        <v>1</v>
      </c>
      <c r="EX132" s="1">
        <v>1</v>
      </c>
      <c r="FE132" s="1">
        <v>1</v>
      </c>
      <c r="FK132" s="1">
        <f t="shared" si="46"/>
        <v>1</v>
      </c>
      <c r="FM132" s="1">
        <v>0</v>
      </c>
      <c r="FS132" s="1">
        <f t="shared" si="47"/>
        <v>0</v>
      </c>
      <c r="FU132" s="1">
        <v>1</v>
      </c>
      <c r="GA132" s="1">
        <f t="shared" si="48"/>
        <v>1</v>
      </c>
      <c r="GC132" s="1" t="s">
        <v>294</v>
      </c>
      <c r="GJ132" s="1">
        <v>0</v>
      </c>
      <c r="GP132" s="1">
        <f t="shared" si="49"/>
        <v>0</v>
      </c>
      <c r="GR132" s="1">
        <v>1500</v>
      </c>
      <c r="GX132" s="1">
        <f t="shared" si="50"/>
        <v>1.5</v>
      </c>
      <c r="GZ132" s="1">
        <v>1</v>
      </c>
      <c r="HF132" s="1">
        <f t="shared" si="51"/>
        <v>1</v>
      </c>
      <c r="HH132" s="1">
        <v>10</v>
      </c>
      <c r="HN132" s="1">
        <f t="shared" si="52"/>
        <v>10</v>
      </c>
      <c r="HP132" s="1">
        <v>0</v>
      </c>
      <c r="HV132" s="1">
        <f t="shared" si="53"/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</row>
    <row r="133" spans="1:249" x14ac:dyDescent="0.25">
      <c r="A133" s="1">
        <v>132</v>
      </c>
      <c r="B133" s="1" t="s">
        <v>237</v>
      </c>
      <c r="C133" s="1" t="s">
        <v>194</v>
      </c>
      <c r="D133" s="1" t="s">
        <v>290</v>
      </c>
      <c r="E133" s="1" t="s">
        <v>290</v>
      </c>
      <c r="F133" s="1">
        <v>0</v>
      </c>
      <c r="G133" s="1">
        <v>1</v>
      </c>
      <c r="H133" s="1">
        <v>0</v>
      </c>
      <c r="I133" s="1">
        <v>66</v>
      </c>
      <c r="J133" s="1">
        <v>1</v>
      </c>
      <c r="K133" s="1">
        <v>1</v>
      </c>
      <c r="M133" s="1">
        <v>1</v>
      </c>
      <c r="N133" s="1">
        <v>1</v>
      </c>
      <c r="O133" s="1">
        <v>2</v>
      </c>
      <c r="P133" s="1">
        <v>13</v>
      </c>
      <c r="Q133" s="1">
        <v>300</v>
      </c>
      <c r="R133" s="1">
        <v>1</v>
      </c>
      <c r="S133" s="1" t="s">
        <v>257</v>
      </c>
      <c r="T133" s="1">
        <v>1</v>
      </c>
      <c r="U133" s="1">
        <v>275</v>
      </c>
      <c r="V133" s="1">
        <v>0</v>
      </c>
      <c r="X133" s="1">
        <v>2</v>
      </c>
      <c r="Y133" s="1">
        <f t="shared" si="36"/>
        <v>1</v>
      </c>
      <c r="Z133" s="1">
        <f t="shared" si="37"/>
        <v>0</v>
      </c>
      <c r="AA133" s="1">
        <v>4</v>
      </c>
      <c r="AC133" s="1">
        <v>1</v>
      </c>
      <c r="AD133" s="1">
        <v>0</v>
      </c>
      <c r="AE133" s="1">
        <v>1</v>
      </c>
      <c r="AF133" s="1">
        <v>0</v>
      </c>
      <c r="AG133" s="1">
        <v>0</v>
      </c>
      <c r="AH133" s="1">
        <v>1</v>
      </c>
      <c r="AI133" s="1">
        <v>0</v>
      </c>
      <c r="AJ133" s="1">
        <v>0</v>
      </c>
      <c r="AK133" s="1">
        <v>0</v>
      </c>
      <c r="AL133" s="1">
        <v>1</v>
      </c>
      <c r="AM133" s="1">
        <v>12</v>
      </c>
      <c r="AO133" s="1">
        <v>1</v>
      </c>
      <c r="AP133" s="1">
        <v>0</v>
      </c>
      <c r="AQ133" s="1">
        <v>0</v>
      </c>
      <c r="AS133" s="1">
        <v>1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2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1.75</v>
      </c>
      <c r="BG133" s="1" t="s">
        <v>224</v>
      </c>
      <c r="BH133" s="1" t="s">
        <v>210</v>
      </c>
      <c r="BR133" s="1">
        <v>1</v>
      </c>
      <c r="BS133" s="1">
        <v>0</v>
      </c>
      <c r="BT133" s="1">
        <v>0</v>
      </c>
      <c r="BU133" s="1">
        <v>1</v>
      </c>
      <c r="BV133" s="1">
        <v>1</v>
      </c>
      <c r="BW133" s="1">
        <v>1</v>
      </c>
      <c r="BX133" s="1">
        <v>0</v>
      </c>
      <c r="BZ133" s="1">
        <v>1</v>
      </c>
      <c r="CF133" s="1">
        <f t="shared" si="38"/>
        <v>0</v>
      </c>
      <c r="CH133" s="1">
        <v>2</v>
      </c>
      <c r="CO133" s="1">
        <v>1500</v>
      </c>
      <c r="CV133" s="1">
        <v>2</v>
      </c>
      <c r="DB133" s="7">
        <f t="shared" si="39"/>
        <v>0.75</v>
      </c>
      <c r="DC133" s="5">
        <f t="shared" si="40"/>
        <v>2</v>
      </c>
      <c r="DE133" s="1">
        <v>3000</v>
      </c>
      <c r="DL133" s="1">
        <v>12</v>
      </c>
      <c r="DR133" s="1">
        <f t="shared" si="41"/>
        <v>12</v>
      </c>
      <c r="DT133" s="1">
        <v>1</v>
      </c>
      <c r="DZ133" s="1">
        <f t="shared" si="42"/>
        <v>1</v>
      </c>
      <c r="EF133" s="1">
        <f t="shared" si="43"/>
        <v>0</v>
      </c>
      <c r="EH133" s="1">
        <v>0</v>
      </c>
      <c r="EN133" s="1">
        <f t="shared" si="44"/>
        <v>0</v>
      </c>
      <c r="EP133" s="1">
        <v>1</v>
      </c>
      <c r="EV133" s="1">
        <f t="shared" si="45"/>
        <v>1</v>
      </c>
      <c r="EX133" s="1">
        <v>1</v>
      </c>
      <c r="FE133" s="1">
        <v>1</v>
      </c>
      <c r="FK133" s="1">
        <f t="shared" si="46"/>
        <v>1</v>
      </c>
      <c r="FM133" s="1">
        <v>0</v>
      </c>
      <c r="FS133" s="1">
        <f t="shared" si="47"/>
        <v>0</v>
      </c>
      <c r="FU133" s="1">
        <v>0</v>
      </c>
      <c r="GA133" s="1">
        <f t="shared" si="48"/>
        <v>0</v>
      </c>
      <c r="GJ133" s="1">
        <v>0</v>
      </c>
      <c r="GP133" s="1">
        <f t="shared" si="49"/>
        <v>0</v>
      </c>
      <c r="GR133" s="1">
        <v>10000</v>
      </c>
      <c r="GX133" s="1">
        <f t="shared" si="50"/>
        <v>10</v>
      </c>
      <c r="GZ133" s="1">
        <v>1</v>
      </c>
      <c r="HF133" s="1">
        <f t="shared" si="51"/>
        <v>1</v>
      </c>
      <c r="HH133" s="1">
        <v>10</v>
      </c>
      <c r="HN133" s="1">
        <f t="shared" si="52"/>
        <v>10</v>
      </c>
      <c r="HP133" s="1">
        <v>0</v>
      </c>
      <c r="HV133" s="1">
        <f t="shared" si="53"/>
        <v>0</v>
      </c>
      <c r="IK133" s="1">
        <v>0</v>
      </c>
      <c r="IL133" s="1">
        <v>80</v>
      </c>
      <c r="IM133" s="1">
        <v>16</v>
      </c>
      <c r="IN133" s="1">
        <v>80</v>
      </c>
      <c r="IO133" s="1">
        <v>0</v>
      </c>
    </row>
    <row r="134" spans="1:249" x14ac:dyDescent="0.25">
      <c r="A134" s="1">
        <v>133</v>
      </c>
      <c r="B134" s="1" t="s">
        <v>237</v>
      </c>
      <c r="C134" s="1" t="s">
        <v>194</v>
      </c>
      <c r="D134" s="1" t="s">
        <v>295</v>
      </c>
      <c r="E134" s="1" t="s">
        <v>300</v>
      </c>
      <c r="F134" s="1">
        <v>0</v>
      </c>
      <c r="G134" s="1">
        <v>1</v>
      </c>
      <c r="H134" s="1">
        <v>0</v>
      </c>
      <c r="I134" s="1">
        <v>25</v>
      </c>
      <c r="J134" s="1">
        <v>1</v>
      </c>
      <c r="K134" s="1">
        <v>1</v>
      </c>
      <c r="M134" s="1">
        <v>0</v>
      </c>
      <c r="N134" s="1">
        <v>0</v>
      </c>
      <c r="O134" s="1">
        <v>3</v>
      </c>
      <c r="P134" s="1">
        <v>20</v>
      </c>
      <c r="Q134" s="1">
        <v>412</v>
      </c>
      <c r="R134" s="1">
        <v>1</v>
      </c>
      <c r="S134" s="1" t="s">
        <v>257</v>
      </c>
      <c r="T134" s="1">
        <v>1</v>
      </c>
      <c r="U134" s="1">
        <v>300</v>
      </c>
      <c r="V134" s="1">
        <v>0</v>
      </c>
      <c r="X134" s="1">
        <v>4</v>
      </c>
      <c r="Y134" s="1">
        <f t="shared" si="36"/>
        <v>0</v>
      </c>
      <c r="Z134" s="1">
        <f t="shared" si="37"/>
        <v>1</v>
      </c>
      <c r="AA134" s="1">
        <v>10</v>
      </c>
      <c r="AC134" s="1">
        <v>0</v>
      </c>
      <c r="AD134" s="1">
        <v>0</v>
      </c>
      <c r="AE134" s="1">
        <v>1</v>
      </c>
      <c r="AF134" s="1">
        <v>1</v>
      </c>
      <c r="AG134" s="1">
        <v>1</v>
      </c>
      <c r="AH134" s="1">
        <v>1</v>
      </c>
      <c r="AI134" s="1">
        <v>0</v>
      </c>
      <c r="AJ134" s="1">
        <v>0</v>
      </c>
      <c r="AK134" s="1">
        <v>0</v>
      </c>
      <c r="AL134" s="1">
        <v>1</v>
      </c>
      <c r="AM134" s="1">
        <v>3</v>
      </c>
      <c r="AO134" s="1">
        <v>1</v>
      </c>
      <c r="AP134" s="1">
        <v>0</v>
      </c>
      <c r="AQ134" s="1">
        <v>0</v>
      </c>
      <c r="AS134" s="1">
        <v>1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1.5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0.5</v>
      </c>
      <c r="BG134" s="1" t="s">
        <v>224</v>
      </c>
      <c r="BH134" s="1" t="s">
        <v>210</v>
      </c>
      <c r="BI134" s="1" t="s">
        <v>302</v>
      </c>
      <c r="BR134" s="1">
        <v>1</v>
      </c>
      <c r="BS134" s="1">
        <v>0</v>
      </c>
      <c r="BT134" s="1">
        <v>0</v>
      </c>
      <c r="BU134" s="1">
        <v>1</v>
      </c>
      <c r="BV134" s="1">
        <v>1</v>
      </c>
      <c r="BW134" s="1">
        <v>1</v>
      </c>
      <c r="BX134" s="1">
        <v>0</v>
      </c>
      <c r="BZ134" s="1">
        <v>1</v>
      </c>
      <c r="CF134" s="1">
        <f t="shared" si="38"/>
        <v>0</v>
      </c>
      <c r="CH134" s="1">
        <v>1.5</v>
      </c>
      <c r="CO134" s="1">
        <v>1000</v>
      </c>
      <c r="CV134" s="1">
        <v>1.5</v>
      </c>
      <c r="DB134" s="7">
        <f t="shared" si="39"/>
        <v>0.66666666666666663</v>
      </c>
      <c r="DC134" s="5">
        <f t="shared" si="40"/>
        <v>2</v>
      </c>
      <c r="DE134" s="1">
        <v>3333</v>
      </c>
      <c r="DL134" s="1">
        <v>4</v>
      </c>
      <c r="DR134" s="1">
        <f t="shared" si="41"/>
        <v>4</v>
      </c>
      <c r="DZ134" s="1">
        <f t="shared" si="42"/>
        <v>0</v>
      </c>
      <c r="EF134" s="1">
        <f t="shared" si="43"/>
        <v>0</v>
      </c>
      <c r="EH134" s="1">
        <v>0</v>
      </c>
      <c r="EN134" s="1">
        <f t="shared" si="44"/>
        <v>0</v>
      </c>
      <c r="EP134" s="1">
        <v>0</v>
      </c>
      <c r="EV134" s="1">
        <f t="shared" si="45"/>
        <v>0</v>
      </c>
      <c r="EX134" s="1">
        <v>0</v>
      </c>
      <c r="FE134" s="1">
        <v>1</v>
      </c>
      <c r="FK134" s="1">
        <f t="shared" si="46"/>
        <v>1</v>
      </c>
      <c r="FM134" s="1">
        <v>0</v>
      </c>
      <c r="FS134" s="1">
        <f t="shared" si="47"/>
        <v>0</v>
      </c>
      <c r="FU134" s="1">
        <v>0</v>
      </c>
      <c r="GA134" s="1">
        <f t="shared" si="48"/>
        <v>0</v>
      </c>
      <c r="GJ134" s="1">
        <v>0</v>
      </c>
      <c r="GP134" s="1">
        <f t="shared" si="49"/>
        <v>0</v>
      </c>
      <c r="GR134" s="1">
        <v>6000</v>
      </c>
      <c r="GX134" s="1">
        <f t="shared" si="50"/>
        <v>6</v>
      </c>
      <c r="GZ134" s="1">
        <v>1</v>
      </c>
      <c r="HF134" s="1">
        <f t="shared" si="51"/>
        <v>1</v>
      </c>
      <c r="HH134" s="1">
        <v>11</v>
      </c>
      <c r="HN134" s="1">
        <f t="shared" si="52"/>
        <v>11</v>
      </c>
      <c r="HP134" s="1">
        <v>0</v>
      </c>
      <c r="HV134" s="1">
        <f t="shared" si="53"/>
        <v>0</v>
      </c>
      <c r="IK134" s="1">
        <v>0</v>
      </c>
      <c r="IL134" s="1">
        <v>48</v>
      </c>
      <c r="IM134" s="1">
        <v>12</v>
      </c>
      <c r="IN134" s="1">
        <v>60</v>
      </c>
      <c r="IO134" s="1">
        <v>0</v>
      </c>
    </row>
    <row r="135" spans="1:249" x14ac:dyDescent="0.25">
      <c r="A135" s="1">
        <v>134</v>
      </c>
      <c r="B135" s="1" t="s">
        <v>237</v>
      </c>
      <c r="C135" s="1" t="s">
        <v>194</v>
      </c>
      <c r="D135" s="1" t="s">
        <v>295</v>
      </c>
      <c r="E135" s="1" t="s">
        <v>300</v>
      </c>
      <c r="F135" s="1">
        <v>0</v>
      </c>
      <c r="G135" s="1">
        <v>1</v>
      </c>
      <c r="H135" s="1">
        <v>0</v>
      </c>
      <c r="I135" s="1">
        <v>58</v>
      </c>
      <c r="J135" s="1">
        <v>1</v>
      </c>
      <c r="K135" s="1">
        <v>1</v>
      </c>
      <c r="M135" s="1">
        <v>0</v>
      </c>
      <c r="N135" s="1">
        <v>0</v>
      </c>
      <c r="O135" s="1">
        <v>4</v>
      </c>
      <c r="P135" s="1">
        <v>35</v>
      </c>
      <c r="Q135" s="1">
        <v>800</v>
      </c>
      <c r="R135" s="1">
        <v>0</v>
      </c>
      <c r="T135" s="1">
        <v>1</v>
      </c>
      <c r="U135" s="1">
        <v>200</v>
      </c>
      <c r="V135" s="1">
        <v>0</v>
      </c>
      <c r="X135" s="1">
        <v>3</v>
      </c>
      <c r="Y135" s="1">
        <f t="shared" si="36"/>
        <v>1</v>
      </c>
      <c r="Z135" s="1">
        <f t="shared" si="37"/>
        <v>0</v>
      </c>
      <c r="AA135" s="1">
        <v>6</v>
      </c>
      <c r="AC135" s="1">
        <v>0</v>
      </c>
      <c r="AD135" s="1">
        <v>0</v>
      </c>
      <c r="AE135" s="1">
        <v>1</v>
      </c>
      <c r="AF135" s="1">
        <v>0</v>
      </c>
      <c r="AG135" s="1">
        <v>1</v>
      </c>
      <c r="AH135" s="1">
        <v>1</v>
      </c>
      <c r="AI135" s="1">
        <v>0</v>
      </c>
      <c r="AJ135" s="1">
        <v>0</v>
      </c>
      <c r="AK135" s="1">
        <v>0</v>
      </c>
      <c r="AL135" s="1">
        <v>1</v>
      </c>
      <c r="AM135" s="1">
        <v>24</v>
      </c>
      <c r="AO135" s="1">
        <v>1</v>
      </c>
      <c r="AP135" s="1">
        <v>0</v>
      </c>
      <c r="AQ135" s="1">
        <v>0</v>
      </c>
      <c r="AS135" s="1">
        <v>1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2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3</v>
      </c>
      <c r="BG135" s="1" t="s">
        <v>224</v>
      </c>
      <c r="BR135" s="1">
        <v>0</v>
      </c>
      <c r="BS135" s="1">
        <v>1</v>
      </c>
      <c r="BT135" s="1">
        <v>1</v>
      </c>
      <c r="BU135" s="1">
        <v>1</v>
      </c>
      <c r="BV135" s="1">
        <v>0</v>
      </c>
      <c r="BW135" s="1">
        <v>1</v>
      </c>
      <c r="BX135" s="1">
        <v>1</v>
      </c>
      <c r="BZ135" s="1">
        <v>1</v>
      </c>
      <c r="CF135" s="1">
        <f t="shared" si="38"/>
        <v>0</v>
      </c>
      <c r="CH135" s="1">
        <v>1.5</v>
      </c>
      <c r="CO135" s="1">
        <v>500</v>
      </c>
      <c r="CV135" s="1">
        <v>1.5</v>
      </c>
      <c r="DB135" s="7">
        <f t="shared" si="39"/>
        <v>0.33333333333333331</v>
      </c>
      <c r="DC135" s="5">
        <f t="shared" si="40"/>
        <v>1</v>
      </c>
      <c r="DE135" s="1">
        <v>3333</v>
      </c>
      <c r="DL135" s="1">
        <v>9</v>
      </c>
      <c r="DR135" s="1">
        <f t="shared" si="41"/>
        <v>9</v>
      </c>
      <c r="DZ135" s="1">
        <f t="shared" si="42"/>
        <v>0</v>
      </c>
      <c r="EC135" s="1">
        <v>1</v>
      </c>
      <c r="EF135" s="1">
        <f t="shared" si="43"/>
        <v>1</v>
      </c>
      <c r="EH135" s="1">
        <v>1</v>
      </c>
      <c r="EN135" s="1">
        <f t="shared" si="44"/>
        <v>1</v>
      </c>
      <c r="EP135" s="1">
        <v>1</v>
      </c>
      <c r="EV135" s="1">
        <f t="shared" si="45"/>
        <v>1</v>
      </c>
      <c r="EX135" s="1">
        <v>1</v>
      </c>
      <c r="FE135" s="1">
        <v>1</v>
      </c>
      <c r="FK135" s="1">
        <f t="shared" si="46"/>
        <v>1</v>
      </c>
      <c r="FM135" s="1">
        <v>0</v>
      </c>
      <c r="FS135" s="1">
        <f t="shared" si="47"/>
        <v>0</v>
      </c>
      <c r="FU135" s="1">
        <v>0</v>
      </c>
      <c r="GA135" s="1">
        <f t="shared" si="48"/>
        <v>0</v>
      </c>
      <c r="GJ135" s="1">
        <v>0</v>
      </c>
      <c r="GP135" s="1">
        <f t="shared" si="49"/>
        <v>0</v>
      </c>
      <c r="GR135" s="1">
        <v>5000</v>
      </c>
      <c r="GX135" s="1">
        <f t="shared" si="50"/>
        <v>5</v>
      </c>
      <c r="GZ135" s="1">
        <v>1</v>
      </c>
      <c r="HF135" s="1">
        <f t="shared" si="51"/>
        <v>1</v>
      </c>
      <c r="HH135" s="1">
        <v>7</v>
      </c>
      <c r="HN135" s="1">
        <f t="shared" si="52"/>
        <v>7</v>
      </c>
      <c r="HP135" s="1">
        <v>0</v>
      </c>
      <c r="HV135" s="1">
        <f t="shared" si="53"/>
        <v>0</v>
      </c>
      <c r="IK135" s="1">
        <v>24</v>
      </c>
      <c r="IL135" s="1">
        <v>24</v>
      </c>
      <c r="IM135" s="1">
        <v>0</v>
      </c>
      <c r="IN135" s="1">
        <v>36</v>
      </c>
      <c r="IO135" s="1">
        <v>24</v>
      </c>
    </row>
    <row r="136" spans="1:249" x14ac:dyDescent="0.25">
      <c r="A136" s="1">
        <v>135</v>
      </c>
      <c r="B136" s="1" t="s">
        <v>237</v>
      </c>
      <c r="C136" s="1" t="s">
        <v>194</v>
      </c>
      <c r="D136" s="1" t="s">
        <v>295</v>
      </c>
      <c r="E136" s="1" t="s">
        <v>300</v>
      </c>
      <c r="F136" s="1">
        <v>0</v>
      </c>
      <c r="G136" s="1">
        <v>1</v>
      </c>
      <c r="H136" s="1">
        <v>0</v>
      </c>
      <c r="I136" s="1">
        <v>44</v>
      </c>
      <c r="J136" s="1">
        <v>0</v>
      </c>
      <c r="K136" s="1">
        <v>1</v>
      </c>
      <c r="M136" s="1">
        <v>0</v>
      </c>
      <c r="N136" s="1">
        <v>0</v>
      </c>
      <c r="O136" s="1">
        <v>5</v>
      </c>
      <c r="P136" s="1">
        <v>18</v>
      </c>
      <c r="Q136" s="1">
        <v>200</v>
      </c>
      <c r="R136" s="1">
        <v>1</v>
      </c>
      <c r="S136" s="1" t="s">
        <v>220</v>
      </c>
      <c r="T136" s="1">
        <v>1</v>
      </c>
      <c r="U136" s="1">
        <v>200</v>
      </c>
      <c r="V136" s="1">
        <v>0</v>
      </c>
      <c r="X136" s="1">
        <v>2</v>
      </c>
      <c r="Y136" s="1">
        <f t="shared" si="36"/>
        <v>1</v>
      </c>
      <c r="Z136" s="1">
        <f t="shared" si="37"/>
        <v>0</v>
      </c>
      <c r="AA136" s="1">
        <v>2</v>
      </c>
      <c r="AC136" s="1">
        <v>1</v>
      </c>
      <c r="AD136" s="1">
        <v>0</v>
      </c>
      <c r="AE136" s="1">
        <v>1</v>
      </c>
      <c r="AF136" s="1">
        <v>1</v>
      </c>
      <c r="AG136" s="1">
        <v>1</v>
      </c>
      <c r="AH136" s="1">
        <v>1</v>
      </c>
      <c r="AI136" s="1">
        <v>1</v>
      </c>
      <c r="AJ136" s="1">
        <v>0</v>
      </c>
      <c r="AK136" s="1">
        <v>0</v>
      </c>
      <c r="AL136" s="1">
        <v>1</v>
      </c>
      <c r="AM136" s="1">
        <v>4</v>
      </c>
      <c r="AO136" s="1">
        <v>1</v>
      </c>
      <c r="AP136" s="1">
        <v>0</v>
      </c>
      <c r="AQ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4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1</v>
      </c>
      <c r="BG136" s="1" t="s">
        <v>224</v>
      </c>
      <c r="BH136" s="1" t="s">
        <v>210</v>
      </c>
      <c r="BI136" s="1" t="s">
        <v>225</v>
      </c>
      <c r="BR136" s="1">
        <v>1</v>
      </c>
      <c r="BS136" s="1">
        <v>0</v>
      </c>
      <c r="BT136" s="1">
        <v>0</v>
      </c>
      <c r="BU136" s="1">
        <v>1</v>
      </c>
      <c r="BV136" s="1">
        <v>0</v>
      </c>
      <c r="BW136" s="1">
        <v>1</v>
      </c>
      <c r="BX136" s="1">
        <v>0</v>
      </c>
      <c r="BZ136" s="1">
        <v>1</v>
      </c>
      <c r="CF136" s="1">
        <f t="shared" si="38"/>
        <v>0</v>
      </c>
      <c r="CH136" s="1">
        <v>1</v>
      </c>
      <c r="CO136" s="1">
        <v>800</v>
      </c>
      <c r="CV136" s="1">
        <v>1</v>
      </c>
      <c r="DB136" s="7">
        <f t="shared" si="39"/>
        <v>0.8</v>
      </c>
      <c r="DC136" s="5">
        <f t="shared" si="40"/>
        <v>2</v>
      </c>
      <c r="DE136" s="1">
        <v>3333</v>
      </c>
      <c r="DL136" s="1">
        <v>4</v>
      </c>
      <c r="DR136" s="1">
        <f t="shared" si="41"/>
        <v>4</v>
      </c>
      <c r="DZ136" s="1">
        <f t="shared" si="42"/>
        <v>0</v>
      </c>
      <c r="EC136" s="1">
        <v>1</v>
      </c>
      <c r="EF136" s="1">
        <f t="shared" si="43"/>
        <v>1</v>
      </c>
      <c r="EH136" s="1">
        <v>1</v>
      </c>
      <c r="EN136" s="1">
        <f t="shared" si="44"/>
        <v>1</v>
      </c>
      <c r="EP136" s="1">
        <v>1</v>
      </c>
      <c r="EV136" s="1">
        <f t="shared" si="45"/>
        <v>1</v>
      </c>
      <c r="EX136" s="1">
        <v>1</v>
      </c>
      <c r="FE136" s="1">
        <v>1</v>
      </c>
      <c r="FK136" s="1">
        <f t="shared" si="46"/>
        <v>1</v>
      </c>
      <c r="FM136" s="1">
        <v>0</v>
      </c>
      <c r="FS136" s="1">
        <f t="shared" si="47"/>
        <v>0</v>
      </c>
      <c r="FU136" s="1">
        <v>0</v>
      </c>
      <c r="GA136" s="1">
        <f t="shared" si="48"/>
        <v>0</v>
      </c>
      <c r="GJ136" s="1">
        <v>0</v>
      </c>
      <c r="GP136" s="1">
        <f t="shared" si="49"/>
        <v>0</v>
      </c>
      <c r="GR136" s="1">
        <v>5000</v>
      </c>
      <c r="GX136" s="1">
        <f t="shared" si="50"/>
        <v>5</v>
      </c>
      <c r="GZ136" s="1">
        <v>1</v>
      </c>
      <c r="HF136" s="1">
        <f t="shared" si="51"/>
        <v>1</v>
      </c>
      <c r="HH136" s="1">
        <v>6</v>
      </c>
      <c r="HN136" s="1">
        <f t="shared" si="52"/>
        <v>6</v>
      </c>
      <c r="HP136" s="1">
        <v>0</v>
      </c>
      <c r="HV136" s="1">
        <f t="shared" si="53"/>
        <v>0</v>
      </c>
      <c r="IK136" s="1">
        <v>0</v>
      </c>
      <c r="IL136" s="1">
        <v>32</v>
      </c>
      <c r="IM136" s="1">
        <v>0</v>
      </c>
      <c r="IN136" s="1">
        <v>40</v>
      </c>
      <c r="IO136" s="1">
        <v>0</v>
      </c>
    </row>
    <row r="137" spans="1:249" x14ac:dyDescent="0.25">
      <c r="A137" s="1">
        <v>136</v>
      </c>
      <c r="B137" s="1" t="s">
        <v>237</v>
      </c>
      <c r="C137" s="1" t="s">
        <v>194</v>
      </c>
      <c r="D137" s="1" t="s">
        <v>290</v>
      </c>
      <c r="E137" s="1" t="s">
        <v>290</v>
      </c>
      <c r="F137" s="1">
        <v>0</v>
      </c>
      <c r="G137" s="1">
        <v>1</v>
      </c>
      <c r="H137" s="1">
        <v>0</v>
      </c>
      <c r="I137" s="1">
        <v>31</v>
      </c>
      <c r="J137" s="1">
        <v>0</v>
      </c>
      <c r="K137" s="1">
        <v>0</v>
      </c>
      <c r="M137" s="1">
        <v>1</v>
      </c>
      <c r="N137" s="1">
        <v>0</v>
      </c>
      <c r="O137" s="1">
        <v>4</v>
      </c>
      <c r="P137" s="1">
        <v>3</v>
      </c>
      <c r="Q137" s="1">
        <v>700</v>
      </c>
      <c r="R137" s="1">
        <v>1</v>
      </c>
      <c r="S137" s="1" t="s">
        <v>220</v>
      </c>
      <c r="T137" s="1">
        <v>0</v>
      </c>
      <c r="U137" s="1">
        <v>0</v>
      </c>
      <c r="V137" s="1">
        <v>1</v>
      </c>
      <c r="W137" s="1" t="s">
        <v>240</v>
      </c>
      <c r="X137" s="1">
        <v>2</v>
      </c>
      <c r="Y137" s="1">
        <f t="shared" si="36"/>
        <v>1</v>
      </c>
      <c r="Z137" s="1">
        <f t="shared" si="37"/>
        <v>0</v>
      </c>
      <c r="AA137" s="1">
        <v>3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O137" s="1">
        <v>1</v>
      </c>
      <c r="AP137" s="1">
        <v>0</v>
      </c>
      <c r="AQ137" s="1">
        <v>0</v>
      </c>
      <c r="AS137" s="1">
        <v>1</v>
      </c>
      <c r="AT137" s="1">
        <v>1</v>
      </c>
      <c r="AU137" s="1">
        <v>0</v>
      </c>
      <c r="AV137" s="1">
        <v>0</v>
      </c>
      <c r="AW137" s="1">
        <v>0</v>
      </c>
      <c r="AX137" s="1">
        <v>0</v>
      </c>
      <c r="AY137" s="1">
        <v>1</v>
      </c>
      <c r="AZ137" s="1">
        <v>1</v>
      </c>
      <c r="BA137" s="1">
        <v>0</v>
      </c>
      <c r="BB137" s="1">
        <v>0</v>
      </c>
      <c r="BC137" s="1">
        <v>0</v>
      </c>
      <c r="BD137" s="1">
        <v>0</v>
      </c>
      <c r="BE137" s="1">
        <v>2</v>
      </c>
      <c r="BG137" s="1" t="s">
        <v>224</v>
      </c>
      <c r="BR137" s="1">
        <v>0</v>
      </c>
      <c r="BS137" s="1">
        <v>0</v>
      </c>
      <c r="BT137" s="1">
        <v>0</v>
      </c>
      <c r="BU137" s="1">
        <v>1</v>
      </c>
      <c r="BV137" s="1">
        <v>0</v>
      </c>
      <c r="BW137" s="1">
        <v>0</v>
      </c>
      <c r="BX137" s="1">
        <v>0</v>
      </c>
      <c r="BZ137" s="1">
        <v>1</v>
      </c>
      <c r="CF137" s="1">
        <f t="shared" si="38"/>
        <v>0</v>
      </c>
      <c r="CH137" s="1">
        <v>1</v>
      </c>
      <c r="CO137" s="1">
        <v>70</v>
      </c>
      <c r="CV137" s="1">
        <v>1</v>
      </c>
      <c r="DB137" s="7">
        <f t="shared" si="39"/>
        <v>7.0000000000000007E-2</v>
      </c>
      <c r="DC137" s="5">
        <f t="shared" si="40"/>
        <v>1</v>
      </c>
      <c r="DE137" s="1">
        <v>3000</v>
      </c>
      <c r="DL137" s="1">
        <v>4</v>
      </c>
      <c r="DR137" s="1">
        <f t="shared" si="41"/>
        <v>4</v>
      </c>
      <c r="DZ137" s="1">
        <f t="shared" si="42"/>
        <v>0</v>
      </c>
      <c r="EC137" s="1">
        <v>1</v>
      </c>
      <c r="EF137" s="1">
        <f t="shared" si="43"/>
        <v>1</v>
      </c>
      <c r="EH137" s="1">
        <v>0</v>
      </c>
      <c r="EN137" s="1">
        <f t="shared" si="44"/>
        <v>0</v>
      </c>
      <c r="EP137" s="1">
        <v>0</v>
      </c>
      <c r="EV137" s="1">
        <f t="shared" si="45"/>
        <v>0</v>
      </c>
      <c r="EX137" s="1">
        <v>0</v>
      </c>
      <c r="FE137" s="1">
        <v>1</v>
      </c>
      <c r="FK137" s="1">
        <f t="shared" si="46"/>
        <v>1</v>
      </c>
      <c r="FM137" s="1">
        <v>0</v>
      </c>
      <c r="FS137" s="1">
        <f t="shared" si="47"/>
        <v>0</v>
      </c>
      <c r="FU137" s="1">
        <v>0</v>
      </c>
      <c r="GA137" s="1">
        <f t="shared" si="48"/>
        <v>0</v>
      </c>
      <c r="GJ137" s="1">
        <v>0</v>
      </c>
      <c r="GP137" s="1">
        <f t="shared" si="49"/>
        <v>0</v>
      </c>
      <c r="GR137" s="1">
        <v>2000</v>
      </c>
      <c r="GX137" s="1">
        <f t="shared" si="50"/>
        <v>2</v>
      </c>
      <c r="GZ137" s="1">
        <v>1</v>
      </c>
      <c r="HF137" s="1">
        <f t="shared" si="51"/>
        <v>1</v>
      </c>
      <c r="HH137" s="1">
        <v>10</v>
      </c>
      <c r="HN137" s="1">
        <f t="shared" si="52"/>
        <v>10</v>
      </c>
      <c r="HP137" s="1">
        <v>0</v>
      </c>
      <c r="HV137" s="1">
        <f t="shared" si="53"/>
        <v>0</v>
      </c>
      <c r="IK137" s="1">
        <v>0</v>
      </c>
      <c r="IL137" s="1">
        <v>32</v>
      </c>
      <c r="IM137" s="1">
        <v>0</v>
      </c>
      <c r="IN137" s="1">
        <v>40</v>
      </c>
      <c r="IO137" s="1">
        <v>0</v>
      </c>
    </row>
    <row r="138" spans="1:249" x14ac:dyDescent="0.25">
      <c r="A138" s="1">
        <v>137</v>
      </c>
      <c r="B138" s="1" t="s">
        <v>237</v>
      </c>
      <c r="C138" s="1" t="s">
        <v>194</v>
      </c>
      <c r="D138" s="1" t="s">
        <v>290</v>
      </c>
      <c r="E138" s="1" t="s">
        <v>290</v>
      </c>
      <c r="F138" s="1">
        <v>0</v>
      </c>
      <c r="G138" s="1">
        <v>1</v>
      </c>
      <c r="H138" s="1">
        <v>0</v>
      </c>
      <c r="I138" s="1">
        <v>38</v>
      </c>
      <c r="J138" s="1">
        <v>1</v>
      </c>
      <c r="K138" s="1">
        <v>1</v>
      </c>
      <c r="M138" s="1">
        <v>1</v>
      </c>
      <c r="N138" s="1">
        <v>1</v>
      </c>
      <c r="O138" s="1">
        <v>5</v>
      </c>
      <c r="P138" s="1">
        <v>3</v>
      </c>
      <c r="Q138" s="1">
        <v>1000</v>
      </c>
      <c r="R138" s="1">
        <v>0</v>
      </c>
      <c r="T138" s="1">
        <v>0</v>
      </c>
      <c r="U138" s="1">
        <v>0</v>
      </c>
      <c r="V138" s="1">
        <v>1</v>
      </c>
      <c r="W138" s="1" t="s">
        <v>240</v>
      </c>
      <c r="X138" s="1">
        <v>5</v>
      </c>
      <c r="Y138" s="1">
        <f t="shared" si="36"/>
        <v>0</v>
      </c>
      <c r="Z138" s="1">
        <f t="shared" si="37"/>
        <v>1</v>
      </c>
      <c r="AA138" s="1">
        <v>11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O138" s="1">
        <v>1</v>
      </c>
      <c r="AP138" s="1">
        <v>0</v>
      </c>
      <c r="AQ138" s="1">
        <v>0</v>
      </c>
      <c r="AS138" s="1">
        <v>1</v>
      </c>
      <c r="AT138" s="1">
        <v>1</v>
      </c>
      <c r="AU138" s="1">
        <v>0</v>
      </c>
      <c r="AV138" s="1">
        <v>0</v>
      </c>
      <c r="AW138" s="1">
        <v>0</v>
      </c>
      <c r="AX138" s="1">
        <v>0</v>
      </c>
      <c r="AY138" s="1">
        <v>1</v>
      </c>
      <c r="AZ138" s="1">
        <v>1</v>
      </c>
      <c r="BA138" s="1">
        <v>0</v>
      </c>
      <c r="BB138" s="1">
        <v>0</v>
      </c>
      <c r="BC138" s="1">
        <v>0</v>
      </c>
      <c r="BD138" s="1">
        <v>0</v>
      </c>
      <c r="BE138" s="1">
        <v>6</v>
      </c>
      <c r="BG138" s="1" t="s">
        <v>224</v>
      </c>
      <c r="BR138" s="1">
        <v>0</v>
      </c>
      <c r="BS138" s="1">
        <v>0</v>
      </c>
      <c r="BT138" s="1">
        <v>0</v>
      </c>
      <c r="BU138" s="1">
        <v>1</v>
      </c>
      <c r="BV138" s="1">
        <v>0</v>
      </c>
      <c r="BW138" s="1">
        <v>1</v>
      </c>
      <c r="BX138" s="1">
        <v>0</v>
      </c>
      <c r="BZ138" s="1">
        <v>1</v>
      </c>
      <c r="CF138" s="1">
        <f t="shared" si="38"/>
        <v>0</v>
      </c>
      <c r="CH138" s="1">
        <v>1</v>
      </c>
      <c r="CO138" s="1">
        <v>130</v>
      </c>
      <c r="CV138" s="1">
        <v>1</v>
      </c>
      <c r="DB138" s="7">
        <f t="shared" si="39"/>
        <v>0.13</v>
      </c>
      <c r="DC138" s="5">
        <f t="shared" si="40"/>
        <v>1</v>
      </c>
      <c r="DE138" s="1">
        <v>3000</v>
      </c>
      <c r="DL138" s="1">
        <v>5</v>
      </c>
      <c r="DR138" s="1">
        <f t="shared" si="41"/>
        <v>5</v>
      </c>
      <c r="DZ138" s="1">
        <f t="shared" si="42"/>
        <v>0</v>
      </c>
      <c r="EC138" s="1">
        <v>1</v>
      </c>
      <c r="EF138" s="1">
        <f t="shared" si="43"/>
        <v>1</v>
      </c>
      <c r="EH138" s="1">
        <v>0</v>
      </c>
      <c r="EN138" s="1">
        <f t="shared" si="44"/>
        <v>0</v>
      </c>
      <c r="EP138" s="1">
        <v>0</v>
      </c>
      <c r="EV138" s="1">
        <f t="shared" si="45"/>
        <v>0</v>
      </c>
      <c r="EX138" s="1">
        <v>0</v>
      </c>
      <c r="FE138" s="1">
        <v>1</v>
      </c>
      <c r="FK138" s="1">
        <f t="shared" si="46"/>
        <v>1</v>
      </c>
      <c r="FM138" s="1">
        <v>0</v>
      </c>
      <c r="FS138" s="1">
        <f t="shared" si="47"/>
        <v>0</v>
      </c>
      <c r="FU138" s="1">
        <v>0</v>
      </c>
      <c r="GA138" s="1">
        <f t="shared" si="48"/>
        <v>0</v>
      </c>
      <c r="GJ138" s="1">
        <v>0</v>
      </c>
      <c r="GP138" s="1">
        <f t="shared" si="49"/>
        <v>0</v>
      </c>
      <c r="GR138" s="1">
        <v>2000</v>
      </c>
      <c r="GX138" s="1">
        <f t="shared" si="50"/>
        <v>2</v>
      </c>
      <c r="GZ138" s="1">
        <v>1</v>
      </c>
      <c r="HF138" s="1">
        <f t="shared" si="51"/>
        <v>1</v>
      </c>
      <c r="HH138" s="1">
        <v>12</v>
      </c>
      <c r="HN138" s="1">
        <f t="shared" si="52"/>
        <v>12</v>
      </c>
      <c r="HP138" s="1">
        <v>0</v>
      </c>
      <c r="HV138" s="1">
        <f t="shared" si="53"/>
        <v>0</v>
      </c>
      <c r="IK138" s="1">
        <v>0</v>
      </c>
      <c r="IL138" s="1">
        <v>40</v>
      </c>
      <c r="IM138" s="1">
        <v>0</v>
      </c>
      <c r="IN138" s="1">
        <v>40</v>
      </c>
      <c r="IO138" s="1">
        <v>0</v>
      </c>
    </row>
    <row r="139" spans="1:249" x14ac:dyDescent="0.25">
      <c r="A139" s="1">
        <v>138</v>
      </c>
      <c r="B139" s="1" t="s">
        <v>237</v>
      </c>
      <c r="C139" s="1" t="s">
        <v>194</v>
      </c>
      <c r="D139" s="1" t="s">
        <v>290</v>
      </c>
      <c r="E139" s="1" t="s">
        <v>290</v>
      </c>
      <c r="F139" s="1">
        <v>0</v>
      </c>
      <c r="G139" s="1">
        <v>1</v>
      </c>
      <c r="H139" s="1">
        <v>0</v>
      </c>
      <c r="I139" s="1">
        <v>54</v>
      </c>
      <c r="J139" s="1">
        <v>1</v>
      </c>
      <c r="K139" s="1">
        <v>1</v>
      </c>
      <c r="M139" s="1">
        <v>0</v>
      </c>
      <c r="N139" s="1">
        <v>1</v>
      </c>
      <c r="O139" s="1">
        <v>1</v>
      </c>
      <c r="P139" s="1">
        <v>20</v>
      </c>
      <c r="Q139" s="1">
        <v>500</v>
      </c>
      <c r="R139" s="1">
        <v>0</v>
      </c>
      <c r="T139" s="1">
        <v>0</v>
      </c>
      <c r="U139" s="1">
        <v>0</v>
      </c>
      <c r="V139" s="1">
        <v>1</v>
      </c>
      <c r="W139" s="1" t="s">
        <v>240</v>
      </c>
      <c r="X139" s="1">
        <v>2</v>
      </c>
      <c r="Y139" s="1">
        <f t="shared" si="36"/>
        <v>1</v>
      </c>
      <c r="Z139" s="1">
        <f t="shared" si="37"/>
        <v>0</v>
      </c>
      <c r="AA139" s="1">
        <v>4</v>
      </c>
      <c r="AC139" s="1">
        <v>1</v>
      </c>
      <c r="AD139" s="1">
        <v>1</v>
      </c>
      <c r="AE139" s="1">
        <v>1</v>
      </c>
      <c r="AF139" s="1">
        <v>1</v>
      </c>
      <c r="AG139" s="1">
        <v>1</v>
      </c>
      <c r="AH139" s="1">
        <v>1</v>
      </c>
      <c r="AI139" s="1">
        <v>1</v>
      </c>
      <c r="AJ139" s="1">
        <v>0</v>
      </c>
      <c r="AK139" s="1">
        <v>0</v>
      </c>
      <c r="AL139" s="1">
        <v>0</v>
      </c>
      <c r="AM139" s="1">
        <v>0</v>
      </c>
      <c r="AO139" s="1">
        <v>1</v>
      </c>
      <c r="AP139" s="1">
        <v>0</v>
      </c>
      <c r="AQ139" s="1">
        <v>0</v>
      </c>
      <c r="AS139" s="1">
        <v>1</v>
      </c>
      <c r="AT139" s="1">
        <v>1</v>
      </c>
      <c r="AU139" s="1">
        <v>0</v>
      </c>
      <c r="AV139" s="1">
        <v>0</v>
      </c>
      <c r="AW139" s="1">
        <v>0</v>
      </c>
      <c r="AX139" s="1">
        <v>0</v>
      </c>
      <c r="AY139" s="1">
        <v>1</v>
      </c>
      <c r="AZ139" s="1">
        <v>1</v>
      </c>
      <c r="BA139" s="1">
        <v>0</v>
      </c>
      <c r="BB139" s="1">
        <v>0</v>
      </c>
      <c r="BC139" s="1">
        <v>0</v>
      </c>
      <c r="BD139" s="1">
        <v>0</v>
      </c>
      <c r="BE139" s="1">
        <v>2.5</v>
      </c>
      <c r="BG139" s="1" t="s">
        <v>224</v>
      </c>
      <c r="BH139" s="1" t="s">
        <v>210</v>
      </c>
      <c r="BR139" s="1">
        <v>1</v>
      </c>
      <c r="BS139" s="1">
        <v>0</v>
      </c>
      <c r="BT139" s="1">
        <v>0</v>
      </c>
      <c r="BU139" s="1">
        <v>0</v>
      </c>
      <c r="BV139" s="1">
        <v>0</v>
      </c>
      <c r="BW139" s="1">
        <v>1</v>
      </c>
      <c r="BX139" s="1">
        <v>0</v>
      </c>
      <c r="BZ139" s="1">
        <v>1</v>
      </c>
      <c r="CF139" s="1">
        <f t="shared" si="38"/>
        <v>0</v>
      </c>
      <c r="CH139" s="1">
        <v>1</v>
      </c>
      <c r="CO139" s="1">
        <v>700</v>
      </c>
      <c r="CV139" s="1">
        <v>1</v>
      </c>
      <c r="DB139" s="7">
        <f t="shared" si="39"/>
        <v>0.7</v>
      </c>
      <c r="DC139" s="5">
        <f t="shared" si="40"/>
        <v>2</v>
      </c>
      <c r="DE139" s="1">
        <v>3000</v>
      </c>
      <c r="DL139" s="1">
        <v>10</v>
      </c>
      <c r="DR139" s="1">
        <f t="shared" si="41"/>
        <v>10</v>
      </c>
      <c r="DZ139" s="1">
        <f t="shared" si="42"/>
        <v>0</v>
      </c>
      <c r="EB139" s="1">
        <v>1</v>
      </c>
      <c r="EF139" s="1">
        <f t="shared" si="43"/>
        <v>1</v>
      </c>
      <c r="EH139" s="1">
        <v>0</v>
      </c>
      <c r="EN139" s="1">
        <f t="shared" si="44"/>
        <v>0</v>
      </c>
      <c r="EP139" s="1">
        <v>0</v>
      </c>
      <c r="EV139" s="1">
        <f t="shared" si="45"/>
        <v>0</v>
      </c>
      <c r="EX139" s="1">
        <v>0</v>
      </c>
      <c r="FE139" s="1">
        <v>0</v>
      </c>
      <c r="FK139" s="1">
        <f t="shared" si="46"/>
        <v>0</v>
      </c>
      <c r="FM139" s="1">
        <v>0</v>
      </c>
      <c r="FS139" s="1">
        <f t="shared" si="47"/>
        <v>0</v>
      </c>
      <c r="FU139" s="1">
        <v>0</v>
      </c>
      <c r="GA139" s="1">
        <f t="shared" si="48"/>
        <v>0</v>
      </c>
      <c r="GJ139" s="1">
        <v>0</v>
      </c>
      <c r="GP139" s="1">
        <f t="shared" si="49"/>
        <v>0</v>
      </c>
      <c r="GR139" s="1">
        <v>1500</v>
      </c>
      <c r="GX139" s="1">
        <f t="shared" si="50"/>
        <v>1.5</v>
      </c>
      <c r="GZ139" s="1">
        <v>1</v>
      </c>
      <c r="HF139" s="1">
        <f t="shared" si="51"/>
        <v>1</v>
      </c>
      <c r="HH139" s="1">
        <v>8</v>
      </c>
      <c r="HN139" s="1">
        <f t="shared" si="52"/>
        <v>8</v>
      </c>
      <c r="HP139" s="1">
        <v>0</v>
      </c>
      <c r="HV139" s="1">
        <f t="shared" si="53"/>
        <v>0</v>
      </c>
      <c r="IK139" s="1">
        <v>0</v>
      </c>
      <c r="IL139" s="1">
        <v>32</v>
      </c>
      <c r="IM139" s="1">
        <v>0</v>
      </c>
      <c r="IN139" s="1">
        <v>40</v>
      </c>
      <c r="IO139" s="1">
        <v>0</v>
      </c>
    </row>
    <row r="140" spans="1:249" x14ac:dyDescent="0.25">
      <c r="A140" s="1">
        <v>139</v>
      </c>
      <c r="B140" s="1" t="s">
        <v>237</v>
      </c>
      <c r="C140" s="1" t="s">
        <v>194</v>
      </c>
      <c r="D140" s="1" t="s">
        <v>290</v>
      </c>
      <c r="E140" s="1" t="s">
        <v>290</v>
      </c>
      <c r="F140" s="1">
        <v>0</v>
      </c>
      <c r="G140" s="1">
        <v>1</v>
      </c>
      <c r="H140" s="1">
        <v>0</v>
      </c>
      <c r="I140" s="1">
        <v>48</v>
      </c>
      <c r="J140" s="1">
        <v>0</v>
      </c>
      <c r="K140" s="1">
        <v>1</v>
      </c>
      <c r="M140" s="1">
        <v>0</v>
      </c>
      <c r="N140" s="1">
        <v>1</v>
      </c>
      <c r="O140" s="1">
        <v>1</v>
      </c>
      <c r="P140" s="1">
        <v>20</v>
      </c>
      <c r="Q140" s="1">
        <v>500</v>
      </c>
      <c r="R140" s="1">
        <v>0</v>
      </c>
      <c r="T140" s="1">
        <v>0</v>
      </c>
      <c r="U140" s="1">
        <v>0</v>
      </c>
      <c r="V140" s="1">
        <v>1</v>
      </c>
      <c r="W140" s="1" t="s">
        <v>240</v>
      </c>
      <c r="X140" s="1">
        <v>8</v>
      </c>
      <c r="Y140" s="1">
        <f t="shared" si="36"/>
        <v>0</v>
      </c>
      <c r="Z140" s="1">
        <f t="shared" si="37"/>
        <v>0</v>
      </c>
      <c r="AA140" s="1">
        <v>13</v>
      </c>
      <c r="AC140" s="1">
        <v>1</v>
      </c>
      <c r="AD140" s="1">
        <v>1</v>
      </c>
      <c r="AE140" s="1">
        <v>1</v>
      </c>
      <c r="AF140" s="1">
        <v>1</v>
      </c>
      <c r="AG140" s="1">
        <v>0</v>
      </c>
      <c r="AH140" s="1">
        <v>1</v>
      </c>
      <c r="AI140" s="1">
        <v>1</v>
      </c>
      <c r="AJ140" s="1">
        <v>0</v>
      </c>
      <c r="AK140" s="1">
        <v>0</v>
      </c>
      <c r="AL140" s="1">
        <v>0</v>
      </c>
      <c r="AM140" s="1">
        <v>0</v>
      </c>
      <c r="AO140" s="1">
        <v>1</v>
      </c>
      <c r="AP140" s="1">
        <v>0</v>
      </c>
      <c r="AQ140" s="1">
        <v>0</v>
      </c>
      <c r="AS140" s="1">
        <v>1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2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7</v>
      </c>
      <c r="BG140" s="1" t="s">
        <v>224</v>
      </c>
      <c r="BR140" s="1">
        <v>0</v>
      </c>
      <c r="BS140" s="1">
        <v>0</v>
      </c>
      <c r="BT140" s="1">
        <v>0</v>
      </c>
      <c r="BU140" s="1">
        <v>1</v>
      </c>
      <c r="BV140" s="1">
        <v>0</v>
      </c>
      <c r="BW140" s="1">
        <v>1</v>
      </c>
      <c r="BX140" s="1">
        <v>0</v>
      </c>
      <c r="BZ140" s="1">
        <v>1</v>
      </c>
      <c r="CF140" s="1">
        <f t="shared" si="38"/>
        <v>0</v>
      </c>
      <c r="CH140" s="1">
        <v>1</v>
      </c>
      <c r="CO140" s="1">
        <v>500</v>
      </c>
      <c r="CV140" s="1">
        <v>1</v>
      </c>
      <c r="DB140" s="7">
        <f t="shared" si="39"/>
        <v>0.5</v>
      </c>
      <c r="DC140" s="5">
        <f t="shared" si="40"/>
        <v>1</v>
      </c>
      <c r="DE140" s="1">
        <v>3000</v>
      </c>
      <c r="DL140" s="1">
        <v>7</v>
      </c>
      <c r="DR140" s="1">
        <f t="shared" si="41"/>
        <v>7</v>
      </c>
      <c r="DT140" s="1">
        <v>1</v>
      </c>
      <c r="DZ140" s="1">
        <f t="shared" si="42"/>
        <v>1</v>
      </c>
      <c r="EB140" s="1">
        <v>1</v>
      </c>
      <c r="EF140" s="1">
        <f t="shared" si="43"/>
        <v>1</v>
      </c>
      <c r="EH140" s="1">
        <v>0</v>
      </c>
      <c r="EN140" s="1">
        <f t="shared" si="44"/>
        <v>0</v>
      </c>
      <c r="EP140" s="1">
        <v>1</v>
      </c>
      <c r="EV140" s="1">
        <f t="shared" si="45"/>
        <v>1</v>
      </c>
      <c r="EX140" s="1">
        <v>1</v>
      </c>
      <c r="FE140" s="1">
        <v>1</v>
      </c>
      <c r="FK140" s="1">
        <f t="shared" si="46"/>
        <v>1</v>
      </c>
      <c r="FM140" s="1">
        <v>0</v>
      </c>
      <c r="FS140" s="1">
        <f t="shared" si="47"/>
        <v>0</v>
      </c>
      <c r="FU140" s="1">
        <v>0</v>
      </c>
      <c r="GA140" s="1">
        <f t="shared" si="48"/>
        <v>0</v>
      </c>
      <c r="GJ140" s="1">
        <v>0</v>
      </c>
      <c r="GP140" s="1">
        <f t="shared" si="49"/>
        <v>0</v>
      </c>
      <c r="GR140" s="1">
        <v>2000</v>
      </c>
      <c r="GX140" s="1">
        <f t="shared" si="50"/>
        <v>2</v>
      </c>
      <c r="GZ140" s="1">
        <v>0</v>
      </c>
      <c r="HF140" s="1">
        <f t="shared" si="51"/>
        <v>0</v>
      </c>
      <c r="HH140" s="1">
        <v>6.8</v>
      </c>
      <c r="HN140" s="1">
        <f t="shared" si="52"/>
        <v>6.8</v>
      </c>
      <c r="HP140" s="1">
        <v>0</v>
      </c>
      <c r="HV140" s="1">
        <f t="shared" si="53"/>
        <v>0</v>
      </c>
      <c r="IK140" s="1">
        <v>0</v>
      </c>
      <c r="IL140" s="1">
        <v>0</v>
      </c>
      <c r="IM140" s="1">
        <v>0</v>
      </c>
      <c r="IN140" s="1">
        <v>40</v>
      </c>
      <c r="IO140" s="1">
        <v>0</v>
      </c>
    </row>
    <row r="141" spans="1:249" x14ac:dyDescent="0.25">
      <c r="A141" s="1">
        <v>140</v>
      </c>
      <c r="B141" s="1" t="s">
        <v>237</v>
      </c>
      <c r="C141" s="1" t="s">
        <v>194</v>
      </c>
      <c r="D141" s="1" t="s">
        <v>290</v>
      </c>
      <c r="E141" s="1" t="s">
        <v>290</v>
      </c>
      <c r="F141" s="1">
        <v>0</v>
      </c>
      <c r="G141" s="1">
        <v>1</v>
      </c>
      <c r="H141" s="1">
        <v>0</v>
      </c>
      <c r="I141" s="1">
        <v>40</v>
      </c>
      <c r="J141" s="1">
        <v>1</v>
      </c>
      <c r="K141" s="1">
        <v>1</v>
      </c>
      <c r="M141" s="1">
        <v>1</v>
      </c>
      <c r="N141" s="1">
        <v>0</v>
      </c>
      <c r="O141" s="1">
        <v>5</v>
      </c>
      <c r="P141" s="1">
        <v>16</v>
      </c>
      <c r="Q141" s="1">
        <v>700</v>
      </c>
      <c r="R141" s="1">
        <v>0</v>
      </c>
      <c r="T141" s="1">
        <v>0</v>
      </c>
      <c r="U141" s="1">
        <v>0</v>
      </c>
      <c r="V141" s="1">
        <v>1</v>
      </c>
      <c r="W141" s="1" t="s">
        <v>240</v>
      </c>
      <c r="X141" s="1">
        <v>4</v>
      </c>
      <c r="Y141" s="1">
        <f t="shared" si="36"/>
        <v>0</v>
      </c>
      <c r="Z141" s="1">
        <f t="shared" si="37"/>
        <v>1</v>
      </c>
      <c r="AA141" s="1">
        <v>9</v>
      </c>
      <c r="AC141" s="1">
        <v>1</v>
      </c>
      <c r="AD141" s="1">
        <v>1</v>
      </c>
      <c r="AE141" s="1">
        <v>1</v>
      </c>
      <c r="AF141" s="1">
        <v>1</v>
      </c>
      <c r="AG141" s="1">
        <v>1</v>
      </c>
      <c r="AH141" s="1">
        <v>0</v>
      </c>
      <c r="AI141" s="1">
        <v>1</v>
      </c>
      <c r="AJ141" s="1">
        <v>0</v>
      </c>
      <c r="AK141" s="1">
        <v>1</v>
      </c>
      <c r="AL141" s="1">
        <v>1</v>
      </c>
      <c r="AM141" s="1">
        <v>5</v>
      </c>
      <c r="AO141" s="1">
        <v>1</v>
      </c>
      <c r="AP141" s="1">
        <v>0</v>
      </c>
      <c r="AQ141" s="1">
        <v>0</v>
      </c>
      <c r="AS141" s="1">
        <v>1</v>
      </c>
      <c r="AT141" s="1">
        <v>1</v>
      </c>
      <c r="AU141" s="1">
        <v>0</v>
      </c>
      <c r="AV141" s="1">
        <v>0</v>
      </c>
      <c r="AW141" s="1">
        <v>0</v>
      </c>
      <c r="AX141" s="1">
        <v>0</v>
      </c>
      <c r="AY141" s="1">
        <v>2</v>
      </c>
      <c r="AZ141" s="1">
        <v>1</v>
      </c>
      <c r="BA141" s="1">
        <v>0</v>
      </c>
      <c r="BB141" s="1">
        <v>0</v>
      </c>
      <c r="BC141" s="1">
        <v>0</v>
      </c>
      <c r="BD141" s="1">
        <v>0</v>
      </c>
      <c r="BE141" s="1">
        <v>20</v>
      </c>
      <c r="BG141" s="1" t="s">
        <v>224</v>
      </c>
      <c r="BH141" s="1" t="s">
        <v>210</v>
      </c>
      <c r="BI141" s="1" t="s">
        <v>260</v>
      </c>
      <c r="BR141" s="1">
        <v>1</v>
      </c>
      <c r="BS141" s="1">
        <v>0</v>
      </c>
      <c r="BT141" s="1">
        <v>0</v>
      </c>
      <c r="BU141" s="1">
        <v>1</v>
      </c>
      <c r="BV141" s="1">
        <v>0</v>
      </c>
      <c r="BW141" s="1">
        <v>0</v>
      </c>
      <c r="BX141" s="1">
        <v>0</v>
      </c>
      <c r="BZ141" s="1">
        <v>1</v>
      </c>
      <c r="CB141" s="1">
        <v>1</v>
      </c>
      <c r="CF141" s="1">
        <f t="shared" si="38"/>
        <v>1</v>
      </c>
      <c r="CH141" s="1">
        <v>1</v>
      </c>
      <c r="CJ141" s="1">
        <v>1</v>
      </c>
      <c r="CO141" s="1">
        <v>750</v>
      </c>
      <c r="CQ141" s="1">
        <v>750</v>
      </c>
      <c r="CV141" s="1">
        <v>1</v>
      </c>
      <c r="CX141" s="1">
        <v>1</v>
      </c>
      <c r="DB141" s="7">
        <f t="shared" si="39"/>
        <v>0.75</v>
      </c>
      <c r="DC141" s="5">
        <f t="shared" si="40"/>
        <v>2</v>
      </c>
      <c r="DE141" s="1">
        <v>3000</v>
      </c>
      <c r="DG141" s="1">
        <v>3000</v>
      </c>
      <c r="DL141" s="1">
        <v>10</v>
      </c>
      <c r="DN141" s="1">
        <v>10</v>
      </c>
      <c r="DR141" s="1">
        <f t="shared" si="41"/>
        <v>10</v>
      </c>
      <c r="DZ141" s="1">
        <f t="shared" si="42"/>
        <v>0</v>
      </c>
      <c r="EF141" s="1">
        <f t="shared" si="43"/>
        <v>0</v>
      </c>
      <c r="EH141" s="1">
        <v>0</v>
      </c>
      <c r="EJ141" s="1">
        <v>1</v>
      </c>
      <c r="EN141" s="1">
        <f t="shared" si="44"/>
        <v>1</v>
      </c>
      <c r="EP141" s="1">
        <v>0</v>
      </c>
      <c r="ER141" s="1">
        <v>0</v>
      </c>
      <c r="EV141" s="1">
        <f t="shared" si="45"/>
        <v>0</v>
      </c>
      <c r="EX141" s="1">
        <v>0</v>
      </c>
      <c r="EZ141" s="1">
        <v>0</v>
      </c>
      <c r="FE141" s="1">
        <v>1</v>
      </c>
      <c r="FG141" s="1">
        <v>0</v>
      </c>
      <c r="FK141" s="1">
        <f t="shared" si="46"/>
        <v>1</v>
      </c>
      <c r="FM141" s="1">
        <v>0</v>
      </c>
      <c r="FO141" s="1">
        <v>0</v>
      </c>
      <c r="FS141" s="1">
        <f t="shared" si="47"/>
        <v>0</v>
      </c>
      <c r="FU141" s="1">
        <v>0</v>
      </c>
      <c r="FW141" s="1">
        <v>0</v>
      </c>
      <c r="GA141" s="1">
        <f t="shared" si="48"/>
        <v>0</v>
      </c>
      <c r="GJ141" s="1">
        <v>0</v>
      </c>
      <c r="GL141" s="1">
        <v>3200</v>
      </c>
      <c r="GP141" s="1">
        <f t="shared" si="49"/>
        <v>3200</v>
      </c>
      <c r="GR141" s="1">
        <v>2000</v>
      </c>
      <c r="GT141" s="1">
        <v>2000</v>
      </c>
      <c r="GX141" s="1">
        <f t="shared" si="50"/>
        <v>4</v>
      </c>
      <c r="GZ141" s="1">
        <v>1</v>
      </c>
      <c r="HB141" s="1">
        <v>1</v>
      </c>
      <c r="HF141" s="1">
        <f t="shared" si="51"/>
        <v>1</v>
      </c>
      <c r="HH141" s="1">
        <v>8.5</v>
      </c>
      <c r="HJ141" s="1">
        <v>8.5</v>
      </c>
      <c r="HN141" s="1">
        <f t="shared" si="52"/>
        <v>8.5</v>
      </c>
      <c r="HP141" s="1">
        <v>0</v>
      </c>
      <c r="HR141" s="1">
        <v>0</v>
      </c>
      <c r="HV141" s="1">
        <f t="shared" si="53"/>
        <v>0</v>
      </c>
      <c r="IK141" s="1">
        <v>0</v>
      </c>
      <c r="IL141" s="1">
        <v>64</v>
      </c>
      <c r="IM141" s="1">
        <v>0</v>
      </c>
      <c r="IN141" s="1">
        <v>80</v>
      </c>
      <c r="IO141" s="1">
        <v>0</v>
      </c>
    </row>
    <row r="142" spans="1:249" x14ac:dyDescent="0.25">
      <c r="A142" s="1">
        <v>141</v>
      </c>
      <c r="B142" s="1" t="s">
        <v>237</v>
      </c>
      <c r="C142" s="1" t="s">
        <v>194</v>
      </c>
      <c r="D142" s="1" t="s">
        <v>290</v>
      </c>
      <c r="E142" s="1" t="s">
        <v>290</v>
      </c>
      <c r="F142" s="1">
        <v>0</v>
      </c>
      <c r="G142" s="1">
        <v>1</v>
      </c>
      <c r="H142" s="1">
        <v>0</v>
      </c>
      <c r="I142" s="1">
        <v>41</v>
      </c>
      <c r="J142" s="1">
        <v>1</v>
      </c>
      <c r="K142" s="1">
        <v>1</v>
      </c>
      <c r="M142" s="1">
        <v>0</v>
      </c>
      <c r="N142" s="1">
        <v>1</v>
      </c>
      <c r="O142" s="1">
        <v>6</v>
      </c>
      <c r="P142" s="1">
        <v>41</v>
      </c>
      <c r="Q142" s="1">
        <v>600</v>
      </c>
      <c r="R142" s="1">
        <v>0</v>
      </c>
      <c r="T142" s="1">
        <v>0</v>
      </c>
      <c r="U142" s="1">
        <v>0</v>
      </c>
      <c r="V142" s="1">
        <v>1</v>
      </c>
      <c r="W142" s="1" t="s">
        <v>240</v>
      </c>
      <c r="X142" s="1">
        <v>4</v>
      </c>
      <c r="Y142" s="1">
        <f t="shared" si="36"/>
        <v>0</v>
      </c>
      <c r="Z142" s="1">
        <f t="shared" si="37"/>
        <v>1</v>
      </c>
      <c r="AA142" s="1">
        <v>8</v>
      </c>
      <c r="AC142" s="1">
        <v>1</v>
      </c>
      <c r="AD142" s="1">
        <v>1</v>
      </c>
      <c r="AE142" s="1">
        <v>1</v>
      </c>
      <c r="AF142" s="1">
        <v>1</v>
      </c>
      <c r="AG142" s="1">
        <v>1</v>
      </c>
      <c r="AH142" s="1">
        <v>1</v>
      </c>
      <c r="AI142" s="1">
        <v>1</v>
      </c>
      <c r="AJ142" s="1">
        <v>0</v>
      </c>
      <c r="AK142" s="1">
        <v>0</v>
      </c>
      <c r="AL142" s="1">
        <v>1</v>
      </c>
      <c r="AM142" s="1">
        <v>7</v>
      </c>
      <c r="AO142" s="1">
        <v>1</v>
      </c>
      <c r="AP142" s="1">
        <v>0</v>
      </c>
      <c r="AQ142" s="1">
        <v>0</v>
      </c>
      <c r="AS142" s="1">
        <v>1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1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2</v>
      </c>
      <c r="BG142" s="1" t="s">
        <v>224</v>
      </c>
      <c r="BR142" s="1">
        <v>0</v>
      </c>
      <c r="BS142" s="1">
        <v>0</v>
      </c>
      <c r="BT142" s="1">
        <v>0</v>
      </c>
      <c r="BU142" s="1">
        <v>1</v>
      </c>
      <c r="BV142" s="1">
        <v>1</v>
      </c>
      <c r="BW142" s="1">
        <v>1</v>
      </c>
      <c r="BX142" s="1">
        <v>0</v>
      </c>
      <c r="BZ142" s="1">
        <v>1</v>
      </c>
      <c r="CF142" s="1">
        <f t="shared" si="38"/>
        <v>0</v>
      </c>
      <c r="CH142" s="1">
        <v>1</v>
      </c>
      <c r="CO142" s="1">
        <v>800</v>
      </c>
      <c r="CV142" s="1">
        <v>1</v>
      </c>
      <c r="DB142" s="7">
        <f t="shared" si="39"/>
        <v>0.8</v>
      </c>
      <c r="DC142" s="5">
        <f t="shared" si="40"/>
        <v>2</v>
      </c>
      <c r="DE142" s="1">
        <v>3000</v>
      </c>
      <c r="DL142" s="1">
        <v>5</v>
      </c>
      <c r="DR142" s="1">
        <f t="shared" si="41"/>
        <v>5</v>
      </c>
      <c r="DZ142" s="1">
        <f t="shared" si="42"/>
        <v>0</v>
      </c>
      <c r="EC142" s="1">
        <v>1</v>
      </c>
      <c r="EF142" s="1">
        <f t="shared" si="43"/>
        <v>1</v>
      </c>
      <c r="EH142" s="1">
        <v>1</v>
      </c>
      <c r="EN142" s="1">
        <f t="shared" si="44"/>
        <v>1</v>
      </c>
      <c r="EP142" s="1">
        <v>1</v>
      </c>
      <c r="EV142" s="1">
        <f t="shared" si="45"/>
        <v>1</v>
      </c>
      <c r="EX142" s="1">
        <v>1</v>
      </c>
      <c r="FE142" s="1">
        <v>1</v>
      </c>
      <c r="FK142" s="1">
        <f t="shared" si="46"/>
        <v>1</v>
      </c>
      <c r="FM142" s="1">
        <v>0</v>
      </c>
      <c r="FS142" s="1">
        <f t="shared" si="47"/>
        <v>0</v>
      </c>
      <c r="FU142" s="1">
        <v>1</v>
      </c>
      <c r="GA142" s="1">
        <f t="shared" si="48"/>
        <v>1</v>
      </c>
      <c r="GJ142" s="1">
        <v>0</v>
      </c>
      <c r="GP142" s="1">
        <f t="shared" si="49"/>
        <v>0</v>
      </c>
      <c r="GR142" s="1">
        <v>2000</v>
      </c>
      <c r="GX142" s="1">
        <f t="shared" si="50"/>
        <v>2</v>
      </c>
      <c r="GZ142" s="1">
        <v>1</v>
      </c>
      <c r="HF142" s="1">
        <f t="shared" si="51"/>
        <v>1</v>
      </c>
      <c r="HH142" s="1">
        <v>12.2</v>
      </c>
      <c r="HN142" s="1">
        <f t="shared" si="52"/>
        <v>12.2</v>
      </c>
      <c r="HP142" s="1">
        <v>0</v>
      </c>
      <c r="HV142" s="1">
        <f t="shared" si="53"/>
        <v>0</v>
      </c>
      <c r="IK142" s="1">
        <v>0</v>
      </c>
      <c r="IL142" s="1">
        <v>40</v>
      </c>
      <c r="IM142" s="1">
        <v>8</v>
      </c>
      <c r="IN142" s="1">
        <v>40</v>
      </c>
      <c r="IO142" s="1">
        <v>0</v>
      </c>
    </row>
    <row r="143" spans="1:249" x14ac:dyDescent="0.25">
      <c r="A143" s="1">
        <v>142</v>
      </c>
      <c r="B143" s="1" t="s">
        <v>237</v>
      </c>
      <c r="C143" s="1" t="s">
        <v>194</v>
      </c>
      <c r="D143" s="1" t="s">
        <v>290</v>
      </c>
      <c r="E143" s="1" t="s">
        <v>290</v>
      </c>
      <c r="F143" s="1">
        <v>0</v>
      </c>
      <c r="G143" s="1">
        <v>1</v>
      </c>
      <c r="H143" s="1">
        <v>0</v>
      </c>
      <c r="I143" s="1">
        <v>50</v>
      </c>
      <c r="J143" s="1">
        <v>1</v>
      </c>
      <c r="K143" s="1">
        <v>1</v>
      </c>
      <c r="M143" s="1">
        <v>1</v>
      </c>
      <c r="N143" s="1">
        <v>0</v>
      </c>
      <c r="O143" s="1">
        <v>6</v>
      </c>
      <c r="P143" s="1">
        <v>20</v>
      </c>
      <c r="Q143" s="1">
        <v>500</v>
      </c>
      <c r="R143" s="1">
        <v>0</v>
      </c>
      <c r="T143" s="1">
        <v>0</v>
      </c>
      <c r="U143" s="1">
        <v>0</v>
      </c>
      <c r="V143" s="1">
        <v>1</v>
      </c>
      <c r="W143" s="1" t="s">
        <v>240</v>
      </c>
      <c r="X143" s="1">
        <v>3</v>
      </c>
      <c r="Y143" s="1">
        <f t="shared" si="36"/>
        <v>1</v>
      </c>
      <c r="Z143" s="1">
        <f t="shared" si="37"/>
        <v>0</v>
      </c>
      <c r="AA143" s="1">
        <v>6</v>
      </c>
      <c r="AC143" s="1">
        <v>0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>
        <v>1</v>
      </c>
      <c r="AJ143" s="1">
        <v>0</v>
      </c>
      <c r="AK143" s="1">
        <v>0</v>
      </c>
      <c r="AL143" s="1">
        <v>1</v>
      </c>
      <c r="AM143" s="1">
        <v>15</v>
      </c>
      <c r="AO143" s="1">
        <v>1</v>
      </c>
      <c r="AP143" s="1">
        <v>0</v>
      </c>
      <c r="AQ143" s="1">
        <v>0</v>
      </c>
      <c r="AS143" s="1">
        <v>1</v>
      </c>
      <c r="AT143" s="1">
        <v>1</v>
      </c>
      <c r="AU143" s="1">
        <v>0</v>
      </c>
      <c r="AV143" s="1">
        <v>0</v>
      </c>
      <c r="AW143" s="1">
        <v>0</v>
      </c>
      <c r="AX143" s="1">
        <v>0</v>
      </c>
      <c r="AY143" s="1">
        <v>1</v>
      </c>
      <c r="AZ143" s="1">
        <v>1</v>
      </c>
      <c r="BA143" s="1">
        <v>0</v>
      </c>
      <c r="BB143" s="1">
        <v>0</v>
      </c>
      <c r="BC143" s="1">
        <v>0</v>
      </c>
      <c r="BD143" s="1">
        <v>0</v>
      </c>
      <c r="BE143" s="1">
        <v>3</v>
      </c>
      <c r="BG143" s="1" t="s">
        <v>224</v>
      </c>
      <c r="BH143" s="1" t="s">
        <v>210</v>
      </c>
      <c r="BR143" s="1">
        <v>1</v>
      </c>
      <c r="BS143" s="1">
        <v>0</v>
      </c>
      <c r="BT143" s="1">
        <v>0</v>
      </c>
      <c r="BU143" s="1">
        <v>1</v>
      </c>
      <c r="BV143" s="1">
        <v>0</v>
      </c>
      <c r="BW143" s="1">
        <v>1</v>
      </c>
      <c r="BX143" s="1">
        <v>0</v>
      </c>
      <c r="BZ143" s="1">
        <v>1</v>
      </c>
      <c r="CF143" s="1">
        <f t="shared" si="38"/>
        <v>0</v>
      </c>
      <c r="CH143" s="1">
        <v>1</v>
      </c>
      <c r="CO143" s="1">
        <v>1000</v>
      </c>
      <c r="CV143" s="1">
        <v>1</v>
      </c>
      <c r="DB143" s="7">
        <f t="shared" si="39"/>
        <v>1</v>
      </c>
      <c r="DC143" s="5">
        <f t="shared" si="40"/>
        <v>3</v>
      </c>
      <c r="DE143" s="1">
        <v>3000</v>
      </c>
      <c r="DL143" s="1">
        <v>4</v>
      </c>
      <c r="DR143" s="1">
        <f t="shared" si="41"/>
        <v>4</v>
      </c>
      <c r="DT143" s="1">
        <v>1</v>
      </c>
      <c r="DZ143" s="1">
        <f t="shared" si="42"/>
        <v>1</v>
      </c>
      <c r="EC143" s="1">
        <v>1</v>
      </c>
      <c r="EF143" s="1">
        <f t="shared" si="43"/>
        <v>1</v>
      </c>
      <c r="EH143" s="1">
        <v>0</v>
      </c>
      <c r="EN143" s="1">
        <f t="shared" si="44"/>
        <v>0</v>
      </c>
      <c r="EP143" s="1">
        <v>1</v>
      </c>
      <c r="EV143" s="1">
        <f t="shared" si="45"/>
        <v>1</v>
      </c>
      <c r="EX143" s="1">
        <v>1</v>
      </c>
      <c r="FE143" s="1">
        <v>1</v>
      </c>
      <c r="FK143" s="1">
        <f t="shared" si="46"/>
        <v>1</v>
      </c>
      <c r="FM143" s="1">
        <v>0</v>
      </c>
      <c r="FS143" s="1">
        <f t="shared" si="47"/>
        <v>0</v>
      </c>
      <c r="FU143" s="1">
        <v>1</v>
      </c>
      <c r="GA143" s="1">
        <f t="shared" si="48"/>
        <v>1</v>
      </c>
      <c r="GC143" s="1" t="s">
        <v>303</v>
      </c>
      <c r="GJ143" s="1">
        <v>0</v>
      </c>
      <c r="GP143" s="1">
        <f t="shared" si="49"/>
        <v>0</v>
      </c>
      <c r="GR143" s="1">
        <v>2000</v>
      </c>
      <c r="GX143" s="1">
        <f t="shared" si="50"/>
        <v>2</v>
      </c>
      <c r="GZ143" s="1">
        <v>1</v>
      </c>
      <c r="HF143" s="1">
        <f t="shared" si="51"/>
        <v>1</v>
      </c>
      <c r="HH143" s="1">
        <v>11</v>
      </c>
      <c r="HN143" s="1">
        <f t="shared" si="52"/>
        <v>11</v>
      </c>
      <c r="HP143" s="1">
        <v>0</v>
      </c>
      <c r="HV143" s="1">
        <f t="shared" si="53"/>
        <v>0</v>
      </c>
      <c r="IK143" s="1">
        <v>0</v>
      </c>
      <c r="IL143" s="1">
        <v>32</v>
      </c>
      <c r="IM143" s="1">
        <v>0</v>
      </c>
      <c r="IN143" s="1">
        <v>40</v>
      </c>
      <c r="IO143" s="1">
        <v>0</v>
      </c>
    </row>
    <row r="144" spans="1:249" x14ac:dyDescent="0.25">
      <c r="A144" s="1">
        <v>143</v>
      </c>
      <c r="B144" s="1" t="s">
        <v>237</v>
      </c>
      <c r="C144" s="1" t="s">
        <v>194</v>
      </c>
      <c r="D144" s="1" t="s">
        <v>290</v>
      </c>
      <c r="E144" s="1" t="s">
        <v>290</v>
      </c>
      <c r="F144" s="1">
        <v>0</v>
      </c>
      <c r="G144" s="1">
        <v>1</v>
      </c>
      <c r="H144" s="1">
        <v>0</v>
      </c>
      <c r="I144" s="1">
        <v>35</v>
      </c>
      <c r="J144" s="1">
        <v>1</v>
      </c>
      <c r="K144" s="1">
        <v>1</v>
      </c>
      <c r="M144" s="1">
        <v>0</v>
      </c>
      <c r="N144" s="1">
        <v>0</v>
      </c>
      <c r="O144" s="1">
        <v>5</v>
      </c>
      <c r="P144" s="1">
        <v>35</v>
      </c>
      <c r="Q144" s="1">
        <v>700</v>
      </c>
      <c r="R144" s="1">
        <v>0</v>
      </c>
      <c r="T144" s="1">
        <v>0</v>
      </c>
      <c r="U144" s="1">
        <v>0</v>
      </c>
      <c r="V144" s="1">
        <v>0</v>
      </c>
      <c r="X144" s="1">
        <v>5</v>
      </c>
      <c r="Y144" s="1">
        <f t="shared" si="36"/>
        <v>0</v>
      </c>
      <c r="Z144" s="1">
        <f t="shared" si="37"/>
        <v>1</v>
      </c>
      <c r="AA144" s="1">
        <v>11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  <c r="AH144" s="1">
        <v>1</v>
      </c>
      <c r="AI144" s="1">
        <v>1</v>
      </c>
      <c r="AJ144" s="1">
        <v>0</v>
      </c>
      <c r="AK144" s="1">
        <v>0</v>
      </c>
      <c r="AL144" s="1">
        <v>0</v>
      </c>
      <c r="AM144" s="1">
        <v>0</v>
      </c>
      <c r="AO144" s="1">
        <v>1</v>
      </c>
      <c r="AP144" s="1">
        <v>0</v>
      </c>
      <c r="AQ144" s="1">
        <v>0</v>
      </c>
      <c r="AS144" s="1">
        <v>1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2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2</v>
      </c>
      <c r="BG144" s="1" t="s">
        <v>224</v>
      </c>
      <c r="BR144" s="1">
        <v>0</v>
      </c>
      <c r="BS144" s="1">
        <v>0</v>
      </c>
      <c r="BT144" s="1">
        <v>0</v>
      </c>
      <c r="BU144" s="1">
        <v>1</v>
      </c>
      <c r="BV144" s="1">
        <v>1</v>
      </c>
      <c r="BW144" s="1">
        <v>1</v>
      </c>
      <c r="BX144" s="1">
        <v>0</v>
      </c>
      <c r="BZ144" s="1">
        <v>1</v>
      </c>
      <c r="CF144" s="1">
        <f t="shared" si="38"/>
        <v>0</v>
      </c>
      <c r="CH144" s="1">
        <v>1</v>
      </c>
      <c r="CO144" s="1">
        <v>800</v>
      </c>
      <c r="CV144" s="1">
        <v>1</v>
      </c>
      <c r="DB144" s="7">
        <f t="shared" si="39"/>
        <v>0.8</v>
      </c>
      <c r="DC144" s="5">
        <f t="shared" si="40"/>
        <v>2</v>
      </c>
      <c r="DE144" s="1">
        <v>3000</v>
      </c>
      <c r="DL144" s="1">
        <v>8</v>
      </c>
      <c r="DR144" s="1">
        <f t="shared" si="41"/>
        <v>8</v>
      </c>
      <c r="DT144" s="1">
        <v>1</v>
      </c>
      <c r="DZ144" s="1">
        <f t="shared" si="42"/>
        <v>1</v>
      </c>
      <c r="EC144" s="1">
        <v>1</v>
      </c>
      <c r="EF144" s="1">
        <f t="shared" si="43"/>
        <v>1</v>
      </c>
      <c r="EH144" s="1">
        <v>0</v>
      </c>
      <c r="EN144" s="1">
        <f t="shared" si="44"/>
        <v>0</v>
      </c>
      <c r="EP144" s="1">
        <v>1</v>
      </c>
      <c r="EV144" s="1">
        <f t="shared" si="45"/>
        <v>1</v>
      </c>
      <c r="EX144" s="1">
        <v>1</v>
      </c>
      <c r="FE144" s="1">
        <v>1</v>
      </c>
      <c r="FK144" s="1">
        <f t="shared" si="46"/>
        <v>1</v>
      </c>
      <c r="FM144" s="1">
        <v>0</v>
      </c>
      <c r="FS144" s="1">
        <f t="shared" si="47"/>
        <v>0</v>
      </c>
      <c r="FU144" s="1">
        <v>1</v>
      </c>
      <c r="GA144" s="1">
        <f t="shared" si="48"/>
        <v>1</v>
      </c>
      <c r="GC144" s="1" t="s">
        <v>228</v>
      </c>
      <c r="GJ144" s="1">
        <v>0</v>
      </c>
      <c r="GP144" s="1">
        <f t="shared" si="49"/>
        <v>0</v>
      </c>
      <c r="GR144" s="1">
        <v>1800</v>
      </c>
      <c r="GX144" s="1">
        <f t="shared" si="50"/>
        <v>1.8</v>
      </c>
      <c r="GZ144" s="1">
        <v>1</v>
      </c>
      <c r="HF144" s="1">
        <f t="shared" si="51"/>
        <v>1</v>
      </c>
      <c r="HH144" s="1">
        <v>10</v>
      </c>
      <c r="HN144" s="1">
        <f t="shared" si="52"/>
        <v>10</v>
      </c>
      <c r="HP144" s="1">
        <v>0</v>
      </c>
      <c r="HV144" s="1">
        <f t="shared" si="53"/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</row>
    <row r="145" spans="1:249" x14ac:dyDescent="0.25">
      <c r="A145" s="1">
        <v>144</v>
      </c>
      <c r="B145" s="1" t="s">
        <v>237</v>
      </c>
      <c r="C145" s="1" t="s">
        <v>194</v>
      </c>
      <c r="D145" s="1" t="s">
        <v>290</v>
      </c>
      <c r="E145" s="1" t="s">
        <v>290</v>
      </c>
      <c r="F145" s="1">
        <v>0</v>
      </c>
      <c r="G145" s="1">
        <v>1</v>
      </c>
      <c r="H145" s="1">
        <v>0</v>
      </c>
      <c r="I145" s="1">
        <v>50</v>
      </c>
      <c r="J145" s="1">
        <v>0</v>
      </c>
      <c r="K145" s="1">
        <v>1</v>
      </c>
      <c r="M145" s="1">
        <v>1</v>
      </c>
      <c r="N145" s="1">
        <v>1</v>
      </c>
      <c r="O145" s="1">
        <v>4</v>
      </c>
      <c r="P145" s="1">
        <v>8</v>
      </c>
      <c r="Q145" s="1">
        <v>200</v>
      </c>
      <c r="R145" s="1">
        <v>0</v>
      </c>
      <c r="T145" s="1">
        <v>0</v>
      </c>
      <c r="U145" s="1">
        <v>0</v>
      </c>
      <c r="V145" s="1">
        <v>0</v>
      </c>
      <c r="X145" s="1">
        <v>0</v>
      </c>
      <c r="Y145" s="1">
        <f t="shared" si="36"/>
        <v>0</v>
      </c>
      <c r="Z145" s="1">
        <f t="shared" si="37"/>
        <v>0</v>
      </c>
      <c r="AA145" s="1">
        <v>0</v>
      </c>
      <c r="AC145" s="1">
        <v>1</v>
      </c>
      <c r="AD145" s="1">
        <v>1</v>
      </c>
      <c r="AE145" s="1">
        <v>1</v>
      </c>
      <c r="AF145" s="1">
        <v>1</v>
      </c>
      <c r="AG145" s="1">
        <v>0</v>
      </c>
      <c r="AH145" s="1">
        <v>1</v>
      </c>
      <c r="AI145" s="1">
        <v>1</v>
      </c>
      <c r="AJ145" s="1">
        <v>0</v>
      </c>
      <c r="AK145" s="1">
        <v>0</v>
      </c>
      <c r="AL145" s="1">
        <v>0</v>
      </c>
      <c r="AM145" s="1">
        <v>0</v>
      </c>
      <c r="AO145" s="1">
        <v>1</v>
      </c>
      <c r="AP145" s="1">
        <v>0</v>
      </c>
      <c r="AQ145" s="1">
        <v>0</v>
      </c>
      <c r="AS145" s="1">
        <v>1</v>
      </c>
      <c r="AT145" s="1">
        <v>1</v>
      </c>
      <c r="AU145" s="1">
        <v>0</v>
      </c>
      <c r="AV145" s="1">
        <v>0</v>
      </c>
      <c r="AW145" s="1">
        <v>0</v>
      </c>
      <c r="AX145" s="1">
        <v>0</v>
      </c>
      <c r="AY145" s="1">
        <v>1.5</v>
      </c>
      <c r="AZ145" s="1">
        <v>0.25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G145" s="1" t="s">
        <v>224</v>
      </c>
      <c r="BH145" s="1" t="s">
        <v>210</v>
      </c>
      <c r="BR145" s="1">
        <v>1</v>
      </c>
      <c r="BS145" s="1">
        <v>0</v>
      </c>
      <c r="BT145" s="1">
        <v>0</v>
      </c>
      <c r="BU145" s="1">
        <v>1</v>
      </c>
      <c r="BV145" s="1">
        <v>0</v>
      </c>
      <c r="BW145" s="1">
        <v>1</v>
      </c>
      <c r="BX145" s="1">
        <v>0</v>
      </c>
      <c r="BZ145" s="1">
        <v>1</v>
      </c>
      <c r="CF145" s="1">
        <f t="shared" si="38"/>
        <v>0</v>
      </c>
      <c r="CH145" s="1">
        <v>1.5</v>
      </c>
      <c r="CO145" s="1">
        <v>700</v>
      </c>
      <c r="CV145" s="1">
        <v>1.5</v>
      </c>
      <c r="DB145" s="7">
        <f t="shared" si="39"/>
        <v>0.46666666666666667</v>
      </c>
      <c r="DC145" s="5">
        <f t="shared" si="40"/>
        <v>1</v>
      </c>
      <c r="DE145" s="1">
        <v>3000</v>
      </c>
      <c r="DL145" s="1">
        <v>6</v>
      </c>
      <c r="DR145" s="1">
        <f t="shared" si="41"/>
        <v>6</v>
      </c>
      <c r="DZ145" s="1">
        <f t="shared" si="42"/>
        <v>0</v>
      </c>
      <c r="EC145" s="1">
        <v>1</v>
      </c>
      <c r="EF145" s="1">
        <f t="shared" si="43"/>
        <v>1</v>
      </c>
      <c r="EH145" s="1">
        <v>0</v>
      </c>
      <c r="EN145" s="1">
        <f t="shared" si="44"/>
        <v>0</v>
      </c>
      <c r="EP145" s="1">
        <v>0</v>
      </c>
      <c r="EV145" s="1">
        <f t="shared" si="45"/>
        <v>0</v>
      </c>
      <c r="EX145" s="1">
        <v>0</v>
      </c>
      <c r="FE145" s="1">
        <v>0</v>
      </c>
      <c r="FK145" s="1">
        <f t="shared" si="46"/>
        <v>0</v>
      </c>
      <c r="FM145" s="1">
        <v>0</v>
      </c>
      <c r="FS145" s="1">
        <f t="shared" si="47"/>
        <v>0</v>
      </c>
      <c r="FU145" s="1">
        <v>0</v>
      </c>
      <c r="GA145" s="1">
        <f t="shared" si="48"/>
        <v>0</v>
      </c>
      <c r="GJ145" s="1">
        <v>0</v>
      </c>
      <c r="GP145" s="1">
        <f t="shared" si="49"/>
        <v>0</v>
      </c>
      <c r="GR145" s="1">
        <v>2000</v>
      </c>
      <c r="GX145" s="1">
        <f t="shared" si="50"/>
        <v>2</v>
      </c>
      <c r="GZ145" s="1">
        <v>1</v>
      </c>
      <c r="HF145" s="1">
        <f t="shared" si="51"/>
        <v>1</v>
      </c>
      <c r="HH145" s="1">
        <v>10</v>
      </c>
      <c r="HN145" s="1">
        <f t="shared" si="52"/>
        <v>10</v>
      </c>
      <c r="HP145" s="1">
        <v>0</v>
      </c>
      <c r="HV145" s="1">
        <f t="shared" si="53"/>
        <v>0</v>
      </c>
      <c r="IK145" s="1">
        <v>0</v>
      </c>
      <c r="IL145" s="1">
        <v>60</v>
      </c>
      <c r="IM145" s="1">
        <v>0</v>
      </c>
      <c r="IN145" s="1">
        <v>60</v>
      </c>
      <c r="IO145" s="1">
        <v>0</v>
      </c>
    </row>
    <row r="146" spans="1:249" x14ac:dyDescent="0.25">
      <c r="A146" s="1">
        <v>145</v>
      </c>
      <c r="B146" s="1" t="s">
        <v>237</v>
      </c>
      <c r="C146" s="1" t="s">
        <v>194</v>
      </c>
      <c r="D146" s="1" t="s">
        <v>286</v>
      </c>
      <c r="E146" s="1" t="s">
        <v>288</v>
      </c>
      <c r="F146" s="1">
        <v>1</v>
      </c>
      <c r="G146" s="1">
        <v>0</v>
      </c>
      <c r="H146" s="1">
        <v>0</v>
      </c>
      <c r="I146" s="1">
        <v>48</v>
      </c>
      <c r="J146" s="1">
        <v>1</v>
      </c>
      <c r="K146" s="1">
        <v>1</v>
      </c>
      <c r="M146" s="1">
        <v>1</v>
      </c>
      <c r="N146" s="1">
        <v>1</v>
      </c>
      <c r="O146" s="1">
        <v>3</v>
      </c>
      <c r="P146" s="1">
        <v>13</v>
      </c>
      <c r="Q146" s="1">
        <v>1000</v>
      </c>
      <c r="R146" s="1">
        <v>0</v>
      </c>
      <c r="T146" s="1">
        <v>0</v>
      </c>
      <c r="U146" s="1">
        <v>0</v>
      </c>
      <c r="V146" s="1">
        <v>1</v>
      </c>
      <c r="X146" s="1">
        <v>3</v>
      </c>
      <c r="Y146" s="1">
        <f t="shared" si="36"/>
        <v>1</v>
      </c>
      <c r="Z146" s="1">
        <f t="shared" si="37"/>
        <v>0</v>
      </c>
      <c r="AA146" s="1">
        <v>7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1</v>
      </c>
      <c r="AL146" s="1">
        <v>1</v>
      </c>
      <c r="AM146" s="1">
        <v>10</v>
      </c>
      <c r="AO146" s="1">
        <v>1</v>
      </c>
      <c r="AP146" s="1">
        <v>0</v>
      </c>
      <c r="AQ146" s="1">
        <v>0</v>
      </c>
      <c r="AS146" s="1">
        <v>1</v>
      </c>
      <c r="AT146" s="1">
        <v>1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0.5</v>
      </c>
      <c r="BA146" s="1">
        <v>0</v>
      </c>
      <c r="BB146" s="1">
        <v>0</v>
      </c>
      <c r="BC146" s="1">
        <v>0</v>
      </c>
      <c r="BD146" s="1">
        <v>0</v>
      </c>
      <c r="BE146" s="1">
        <v>2</v>
      </c>
      <c r="BG146" s="1" t="s">
        <v>224</v>
      </c>
      <c r="BH146" s="1" t="s">
        <v>260</v>
      </c>
      <c r="BR146" s="1">
        <v>1</v>
      </c>
      <c r="BS146" s="1">
        <v>0</v>
      </c>
      <c r="BT146" s="1">
        <v>0</v>
      </c>
      <c r="BU146" s="1">
        <v>1</v>
      </c>
      <c r="BV146" s="1">
        <v>1</v>
      </c>
      <c r="BW146" s="1">
        <v>1</v>
      </c>
      <c r="BX146" s="1">
        <v>0</v>
      </c>
      <c r="CA146" s="1">
        <v>1</v>
      </c>
      <c r="CF146" s="1">
        <f t="shared" si="38"/>
        <v>0</v>
      </c>
      <c r="CI146" s="1">
        <v>1</v>
      </c>
      <c r="CP146" s="1">
        <v>500</v>
      </c>
      <c r="CW146" s="1">
        <v>1</v>
      </c>
      <c r="DB146" s="7">
        <f t="shared" si="39"/>
        <v>0.5</v>
      </c>
      <c r="DC146" s="5">
        <f t="shared" si="40"/>
        <v>1</v>
      </c>
      <c r="DF146" s="1">
        <v>3333</v>
      </c>
      <c r="DM146" s="1">
        <v>7</v>
      </c>
      <c r="DR146" s="1">
        <f t="shared" si="41"/>
        <v>7</v>
      </c>
      <c r="DU146" s="1">
        <v>1</v>
      </c>
      <c r="DZ146" s="1">
        <f t="shared" si="42"/>
        <v>1</v>
      </c>
      <c r="EF146" s="1">
        <f t="shared" si="43"/>
        <v>0</v>
      </c>
      <c r="EI146" s="1">
        <v>0</v>
      </c>
      <c r="EN146" s="1">
        <f t="shared" si="44"/>
        <v>0</v>
      </c>
      <c r="EQ146" s="1">
        <v>0</v>
      </c>
      <c r="EV146" s="1">
        <f t="shared" si="45"/>
        <v>0</v>
      </c>
      <c r="EY146" s="1">
        <v>0</v>
      </c>
      <c r="FF146" s="1">
        <v>1</v>
      </c>
      <c r="FK146" s="1">
        <f t="shared" si="46"/>
        <v>1</v>
      </c>
      <c r="FN146" s="1">
        <v>0</v>
      </c>
      <c r="FS146" s="1">
        <f t="shared" si="47"/>
        <v>0</v>
      </c>
      <c r="FV146" s="1">
        <v>1</v>
      </c>
      <c r="GA146" s="1">
        <f t="shared" si="48"/>
        <v>1</v>
      </c>
      <c r="GD146" s="1" t="s">
        <v>228</v>
      </c>
      <c r="GK146" s="1">
        <v>0</v>
      </c>
      <c r="GP146" s="1">
        <f t="shared" si="49"/>
        <v>0</v>
      </c>
      <c r="GS146" s="1">
        <v>1000</v>
      </c>
      <c r="GX146" s="1">
        <f t="shared" si="50"/>
        <v>1</v>
      </c>
      <c r="HA146" s="1">
        <v>1</v>
      </c>
      <c r="HF146" s="1">
        <f t="shared" si="51"/>
        <v>1</v>
      </c>
      <c r="HI146" s="1">
        <v>7.5</v>
      </c>
      <c r="HN146" s="1">
        <f t="shared" si="52"/>
        <v>7.5</v>
      </c>
      <c r="HQ146" s="1">
        <v>0</v>
      </c>
      <c r="HV146" s="1">
        <f t="shared" si="53"/>
        <v>0</v>
      </c>
      <c r="IK146" s="1">
        <v>0</v>
      </c>
      <c r="IL146" s="1">
        <v>0</v>
      </c>
      <c r="IM146" s="1">
        <v>0</v>
      </c>
      <c r="IN146" s="1">
        <v>40</v>
      </c>
      <c r="IO146" s="1">
        <v>0</v>
      </c>
    </row>
    <row r="147" spans="1:249" x14ac:dyDescent="0.25">
      <c r="A147" s="1">
        <v>146</v>
      </c>
      <c r="B147" s="1" t="s">
        <v>234</v>
      </c>
      <c r="C147" s="1" t="s">
        <v>304</v>
      </c>
      <c r="D147" s="1" t="s">
        <v>236</v>
      </c>
      <c r="E147" s="1" t="s">
        <v>236</v>
      </c>
      <c r="F147" s="1">
        <v>0</v>
      </c>
      <c r="G147" s="1">
        <v>1</v>
      </c>
      <c r="H147" s="1">
        <v>0</v>
      </c>
      <c r="I147" s="1">
        <v>35</v>
      </c>
      <c r="J147" s="1">
        <v>1</v>
      </c>
      <c r="K147" s="1">
        <v>1</v>
      </c>
      <c r="M147" s="1">
        <v>1</v>
      </c>
      <c r="N147" s="1">
        <v>1</v>
      </c>
      <c r="O147" s="1">
        <v>3</v>
      </c>
      <c r="P147" s="1">
        <v>20</v>
      </c>
      <c r="Q147" s="1">
        <v>800</v>
      </c>
      <c r="R147" s="1">
        <v>0</v>
      </c>
      <c r="T147" s="1">
        <v>1</v>
      </c>
      <c r="U147" s="1">
        <v>600</v>
      </c>
      <c r="V147" s="1">
        <v>0</v>
      </c>
      <c r="X147" s="1">
        <v>5</v>
      </c>
      <c r="Y147" s="1">
        <f t="shared" si="36"/>
        <v>0</v>
      </c>
      <c r="Z147" s="1">
        <f t="shared" si="37"/>
        <v>1</v>
      </c>
      <c r="AA147" s="1">
        <v>11</v>
      </c>
      <c r="AC147" s="1">
        <v>1</v>
      </c>
      <c r="AD147" s="1">
        <v>1</v>
      </c>
      <c r="AE147" s="1">
        <v>1</v>
      </c>
      <c r="AF147" s="1">
        <v>1</v>
      </c>
      <c r="AG147" s="1">
        <v>1</v>
      </c>
      <c r="AH147" s="1">
        <v>1</v>
      </c>
      <c r="AI147" s="1">
        <v>1</v>
      </c>
      <c r="AJ147" s="1">
        <v>0</v>
      </c>
      <c r="AK147" s="1">
        <v>0</v>
      </c>
      <c r="AL147" s="1">
        <v>1</v>
      </c>
      <c r="AM147" s="1">
        <v>10</v>
      </c>
      <c r="AO147" s="1">
        <v>1</v>
      </c>
      <c r="AP147" s="1">
        <v>0</v>
      </c>
      <c r="AQ147" s="1">
        <v>0</v>
      </c>
      <c r="AS147" s="1">
        <v>1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2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G147" s="1" t="s">
        <v>224</v>
      </c>
      <c r="BR147" s="1">
        <v>0</v>
      </c>
      <c r="BS147" s="1">
        <v>1</v>
      </c>
      <c r="BT147" s="1">
        <v>0</v>
      </c>
      <c r="BU147" s="1">
        <v>1</v>
      </c>
      <c r="BV147" s="1">
        <v>1</v>
      </c>
      <c r="BW147" s="1">
        <v>1</v>
      </c>
      <c r="BX147" s="1">
        <v>0</v>
      </c>
      <c r="BZ147" s="1">
        <v>1</v>
      </c>
      <c r="CF147" s="1">
        <f t="shared" si="38"/>
        <v>0</v>
      </c>
      <c r="CH147" s="1">
        <v>2</v>
      </c>
      <c r="CO147" s="1">
        <v>1000</v>
      </c>
      <c r="CV147" s="1">
        <v>2</v>
      </c>
      <c r="DB147" s="7">
        <f t="shared" si="39"/>
        <v>0.5</v>
      </c>
      <c r="DC147" s="5">
        <f t="shared" si="40"/>
        <v>1</v>
      </c>
      <c r="DE147" s="1">
        <v>3000</v>
      </c>
      <c r="DL147" s="1">
        <v>8</v>
      </c>
      <c r="DR147" s="1">
        <f t="shared" si="41"/>
        <v>8</v>
      </c>
      <c r="DT147" s="1">
        <v>1</v>
      </c>
      <c r="DZ147" s="1">
        <f t="shared" si="42"/>
        <v>1</v>
      </c>
      <c r="EC147" s="1">
        <v>1</v>
      </c>
      <c r="EF147" s="1">
        <f t="shared" si="43"/>
        <v>1</v>
      </c>
      <c r="EH147" s="1">
        <v>0</v>
      </c>
      <c r="EN147" s="1">
        <f t="shared" si="44"/>
        <v>0</v>
      </c>
      <c r="EP147" s="1">
        <v>1</v>
      </c>
      <c r="EV147" s="1">
        <f t="shared" si="45"/>
        <v>1</v>
      </c>
      <c r="EX147" s="1">
        <v>1</v>
      </c>
      <c r="FE147" s="1">
        <v>1</v>
      </c>
      <c r="FK147" s="1">
        <f t="shared" si="46"/>
        <v>1</v>
      </c>
      <c r="FM147" s="1">
        <v>0</v>
      </c>
      <c r="FS147" s="1">
        <f t="shared" si="47"/>
        <v>0</v>
      </c>
      <c r="FU147" s="1">
        <v>0</v>
      </c>
      <c r="GA147" s="1">
        <f t="shared" si="48"/>
        <v>0</v>
      </c>
      <c r="GJ147" s="1">
        <v>0</v>
      </c>
      <c r="GP147" s="1">
        <f t="shared" si="49"/>
        <v>0</v>
      </c>
      <c r="GR147" s="1">
        <v>3500</v>
      </c>
      <c r="GX147" s="1">
        <f t="shared" si="50"/>
        <v>3.5</v>
      </c>
      <c r="GZ147" s="1">
        <v>1</v>
      </c>
      <c r="HF147" s="1">
        <f t="shared" si="51"/>
        <v>1</v>
      </c>
      <c r="HH147" s="1">
        <v>10.5</v>
      </c>
      <c r="HN147" s="1">
        <f t="shared" si="52"/>
        <v>10.5</v>
      </c>
      <c r="HP147" s="1">
        <v>0</v>
      </c>
      <c r="HV147" s="1">
        <f t="shared" si="53"/>
        <v>0</v>
      </c>
      <c r="IK147" s="1">
        <v>4</v>
      </c>
      <c r="IL147" s="1">
        <v>0</v>
      </c>
      <c r="IM147" s="1">
        <v>0</v>
      </c>
      <c r="IN147" s="1">
        <v>0</v>
      </c>
      <c r="IO147" s="1">
        <v>0</v>
      </c>
    </row>
    <row r="148" spans="1:249" x14ac:dyDescent="0.25">
      <c r="A148" s="1">
        <v>147</v>
      </c>
      <c r="B148" s="1" t="s">
        <v>193</v>
      </c>
      <c r="C148" s="1" t="s">
        <v>194</v>
      </c>
      <c r="D148" s="1" t="s">
        <v>195</v>
      </c>
      <c r="E148" s="1" t="s">
        <v>196</v>
      </c>
      <c r="F148" s="1">
        <v>0</v>
      </c>
      <c r="G148" s="1">
        <v>0</v>
      </c>
      <c r="H148" s="1">
        <v>1</v>
      </c>
      <c r="I148" s="1">
        <v>68</v>
      </c>
      <c r="J148" s="1">
        <v>0</v>
      </c>
      <c r="K148" s="1">
        <v>1</v>
      </c>
      <c r="M148" s="1">
        <v>1</v>
      </c>
      <c r="N148" s="1">
        <v>1</v>
      </c>
      <c r="O148" s="1">
        <v>2</v>
      </c>
      <c r="P148" s="1">
        <v>25</v>
      </c>
      <c r="Q148" s="1">
        <v>500</v>
      </c>
      <c r="R148" s="1">
        <v>1</v>
      </c>
      <c r="S148" s="1" t="s">
        <v>197</v>
      </c>
      <c r="T148" s="1">
        <v>1</v>
      </c>
      <c r="U148" s="1">
        <v>700</v>
      </c>
      <c r="V148" s="1">
        <v>1</v>
      </c>
      <c r="W148" s="1" t="s">
        <v>240</v>
      </c>
      <c r="X148" s="1">
        <v>2</v>
      </c>
      <c r="Y148" s="1">
        <f t="shared" si="36"/>
        <v>1</v>
      </c>
      <c r="Z148" s="1">
        <f t="shared" si="37"/>
        <v>0</v>
      </c>
      <c r="AA148" s="1">
        <v>4</v>
      </c>
      <c r="AC148" s="1">
        <v>0</v>
      </c>
      <c r="AD148" s="1">
        <v>0</v>
      </c>
      <c r="AE148" s="1">
        <v>1</v>
      </c>
      <c r="AF148" s="1">
        <v>1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">
        <v>1</v>
      </c>
      <c r="AM148" s="1">
        <v>20</v>
      </c>
      <c r="AO148" s="1">
        <v>1</v>
      </c>
      <c r="AP148" s="1">
        <v>0</v>
      </c>
      <c r="AQ148" s="1">
        <v>0</v>
      </c>
      <c r="AS148" s="1">
        <v>1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1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2</v>
      </c>
      <c r="BG148" s="1" t="s">
        <v>224</v>
      </c>
      <c r="BH148" s="1" t="s">
        <v>210</v>
      </c>
      <c r="BI148" s="1" t="s">
        <v>211</v>
      </c>
      <c r="BR148" s="1">
        <v>1</v>
      </c>
      <c r="BS148" s="1">
        <v>1</v>
      </c>
      <c r="BT148" s="1">
        <v>1</v>
      </c>
      <c r="BU148" s="1">
        <v>1</v>
      </c>
      <c r="BV148" s="1">
        <v>1</v>
      </c>
      <c r="BW148" s="1">
        <v>1</v>
      </c>
      <c r="BX148" s="1">
        <v>0</v>
      </c>
      <c r="BZ148" s="1">
        <v>1</v>
      </c>
      <c r="CF148" s="1">
        <f t="shared" si="38"/>
        <v>0</v>
      </c>
      <c r="CH148" s="1">
        <v>1</v>
      </c>
      <c r="CO148" s="1">
        <v>750</v>
      </c>
      <c r="CV148" s="1">
        <v>1</v>
      </c>
      <c r="DB148" s="7">
        <f t="shared" si="39"/>
        <v>0.75</v>
      </c>
      <c r="DC148" s="5">
        <f t="shared" si="40"/>
        <v>2</v>
      </c>
      <c r="DE148" s="1">
        <v>3300</v>
      </c>
      <c r="DL148" s="1">
        <v>6</v>
      </c>
      <c r="DR148" s="1">
        <f t="shared" si="41"/>
        <v>6</v>
      </c>
      <c r="DZ148" s="1">
        <f t="shared" si="42"/>
        <v>0</v>
      </c>
      <c r="ED148" s="1">
        <v>1</v>
      </c>
      <c r="EF148" s="1">
        <f t="shared" si="43"/>
        <v>1</v>
      </c>
      <c r="EH148" s="1">
        <v>1</v>
      </c>
      <c r="EN148" s="1">
        <f t="shared" si="44"/>
        <v>1</v>
      </c>
      <c r="EP148" s="1">
        <v>1</v>
      </c>
      <c r="EV148" s="1">
        <f t="shared" si="45"/>
        <v>1</v>
      </c>
      <c r="EX148" s="1">
        <v>1</v>
      </c>
      <c r="FE148" s="1">
        <v>1</v>
      </c>
      <c r="FK148" s="1">
        <f t="shared" si="46"/>
        <v>1</v>
      </c>
      <c r="FM148" s="1">
        <v>0</v>
      </c>
      <c r="FS148" s="1">
        <f t="shared" si="47"/>
        <v>0</v>
      </c>
      <c r="FU148" s="1">
        <v>0</v>
      </c>
      <c r="GA148" s="1">
        <f t="shared" si="48"/>
        <v>0</v>
      </c>
      <c r="GJ148" s="1">
        <v>0</v>
      </c>
      <c r="GP148" s="1">
        <f t="shared" si="49"/>
        <v>0</v>
      </c>
      <c r="GR148" s="1">
        <v>10000</v>
      </c>
      <c r="GX148" s="1">
        <f t="shared" si="50"/>
        <v>10</v>
      </c>
      <c r="GZ148" s="1">
        <v>1</v>
      </c>
      <c r="HF148" s="1">
        <f t="shared" si="51"/>
        <v>1</v>
      </c>
      <c r="HH148" s="1">
        <v>11.5</v>
      </c>
      <c r="HN148" s="1">
        <f t="shared" si="52"/>
        <v>11.5</v>
      </c>
      <c r="HP148" s="1">
        <v>0</v>
      </c>
      <c r="HV148" s="1">
        <f t="shared" si="53"/>
        <v>0</v>
      </c>
      <c r="IK148" s="1">
        <v>32</v>
      </c>
      <c r="IL148" s="1">
        <v>40</v>
      </c>
      <c r="IM148" s="1">
        <v>8</v>
      </c>
      <c r="IN148" s="1">
        <v>40</v>
      </c>
      <c r="IO148" s="1">
        <v>0</v>
      </c>
    </row>
    <row r="149" spans="1:249" x14ac:dyDescent="0.25">
      <c r="A149" s="1">
        <v>148</v>
      </c>
      <c r="B149" s="1" t="s">
        <v>193</v>
      </c>
      <c r="C149" s="1" t="s">
        <v>194</v>
      </c>
      <c r="D149" s="1" t="s">
        <v>219</v>
      </c>
      <c r="E149" s="1" t="s">
        <v>227</v>
      </c>
      <c r="F149" s="1">
        <v>0</v>
      </c>
      <c r="G149" s="1">
        <v>0</v>
      </c>
      <c r="H149" s="1">
        <v>1</v>
      </c>
      <c r="I149" s="1">
        <v>48</v>
      </c>
      <c r="J149" s="1">
        <v>0</v>
      </c>
      <c r="K149" s="1">
        <v>1</v>
      </c>
      <c r="L149" s="1">
        <v>3</v>
      </c>
      <c r="M149" s="1">
        <v>1</v>
      </c>
      <c r="N149" s="1">
        <v>1</v>
      </c>
      <c r="O149" s="1">
        <v>2</v>
      </c>
      <c r="P149" s="1">
        <v>15</v>
      </c>
      <c r="Q149" s="1">
        <v>800</v>
      </c>
      <c r="R149" s="1">
        <v>0</v>
      </c>
      <c r="T149" s="1">
        <v>1</v>
      </c>
      <c r="U149" s="1">
        <v>700</v>
      </c>
      <c r="V149" s="1">
        <v>1</v>
      </c>
      <c r="W149" s="1" t="s">
        <v>240</v>
      </c>
      <c r="X149" s="1">
        <v>5</v>
      </c>
      <c r="Y149" s="1">
        <f t="shared" si="36"/>
        <v>0</v>
      </c>
      <c r="Z149" s="1">
        <f t="shared" si="37"/>
        <v>1</v>
      </c>
      <c r="AA149" s="1">
        <v>11</v>
      </c>
      <c r="AC149" s="1">
        <v>1</v>
      </c>
      <c r="AD149" s="1">
        <v>0</v>
      </c>
      <c r="AE149" s="1">
        <v>1</v>
      </c>
      <c r="AF149" s="1">
        <v>0</v>
      </c>
      <c r="AG149" s="1">
        <v>1</v>
      </c>
      <c r="AH149" s="1">
        <v>0</v>
      </c>
      <c r="AI149" s="1">
        <v>1</v>
      </c>
      <c r="AJ149" s="1">
        <v>0</v>
      </c>
      <c r="AK149" s="1">
        <v>1</v>
      </c>
      <c r="AL149" s="1">
        <v>1</v>
      </c>
      <c r="AM149" s="1">
        <v>7</v>
      </c>
      <c r="AO149" s="1">
        <v>1</v>
      </c>
      <c r="AP149" s="1">
        <v>0</v>
      </c>
      <c r="AQ149" s="1">
        <v>0</v>
      </c>
      <c r="AS149" s="1">
        <v>1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2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G149" s="1" t="s">
        <v>224</v>
      </c>
      <c r="BR149" s="1">
        <v>0</v>
      </c>
      <c r="BS149" s="1">
        <v>1</v>
      </c>
      <c r="BT149" s="1">
        <v>1</v>
      </c>
      <c r="BU149" s="1">
        <v>1</v>
      </c>
      <c r="BV149" s="1">
        <v>1</v>
      </c>
      <c r="BW149" s="1">
        <v>1</v>
      </c>
      <c r="BX149" s="1">
        <v>0</v>
      </c>
      <c r="BZ149" s="1">
        <v>1</v>
      </c>
      <c r="CF149" s="1">
        <f t="shared" si="38"/>
        <v>0</v>
      </c>
      <c r="CH149" s="1">
        <v>2</v>
      </c>
      <c r="CO149" s="1">
        <v>1200</v>
      </c>
      <c r="CV149" s="1">
        <v>2</v>
      </c>
      <c r="DB149" s="7">
        <f t="shared" si="39"/>
        <v>0.6</v>
      </c>
      <c r="DC149" s="5">
        <f t="shared" si="40"/>
        <v>1</v>
      </c>
      <c r="DE149" s="1">
        <v>5000</v>
      </c>
      <c r="DL149" s="1">
        <v>7</v>
      </c>
      <c r="DR149" s="1">
        <f t="shared" si="41"/>
        <v>7</v>
      </c>
      <c r="DT149" s="1">
        <v>1</v>
      </c>
      <c r="DZ149" s="1">
        <f t="shared" si="42"/>
        <v>1</v>
      </c>
      <c r="EC149" s="1">
        <v>1</v>
      </c>
      <c r="EF149" s="1">
        <f t="shared" si="43"/>
        <v>1</v>
      </c>
      <c r="EH149" s="1">
        <v>1</v>
      </c>
      <c r="EN149" s="1">
        <f t="shared" si="44"/>
        <v>1</v>
      </c>
      <c r="EP149" s="1">
        <v>1</v>
      </c>
      <c r="EV149" s="1">
        <f t="shared" si="45"/>
        <v>1</v>
      </c>
      <c r="EX149" s="1">
        <v>1</v>
      </c>
      <c r="FE149" s="1">
        <v>1</v>
      </c>
      <c r="FK149" s="1">
        <f t="shared" si="46"/>
        <v>1</v>
      </c>
      <c r="FM149" s="1">
        <v>0</v>
      </c>
      <c r="FS149" s="1">
        <f t="shared" si="47"/>
        <v>0</v>
      </c>
      <c r="FU149" s="1">
        <v>1</v>
      </c>
      <c r="GA149" s="1">
        <f t="shared" si="48"/>
        <v>1</v>
      </c>
      <c r="GC149" s="1" t="s">
        <v>228</v>
      </c>
      <c r="GJ149" s="1">
        <v>10000</v>
      </c>
      <c r="GP149" s="1">
        <f t="shared" si="49"/>
        <v>10000</v>
      </c>
      <c r="GR149" s="1">
        <v>30000</v>
      </c>
      <c r="GX149" s="1">
        <f t="shared" si="50"/>
        <v>30</v>
      </c>
      <c r="GZ149" s="1">
        <v>1</v>
      </c>
      <c r="HF149" s="1">
        <f t="shared" si="51"/>
        <v>1</v>
      </c>
      <c r="HH149" s="1">
        <v>13</v>
      </c>
      <c r="HN149" s="1">
        <f t="shared" si="52"/>
        <v>13</v>
      </c>
      <c r="HP149" s="1">
        <v>0</v>
      </c>
      <c r="HV149" s="1">
        <f t="shared" si="53"/>
        <v>0</v>
      </c>
      <c r="HX149" s="1" t="s">
        <v>226</v>
      </c>
      <c r="IE149" s="1">
        <v>1</v>
      </c>
      <c r="IK149" s="1">
        <v>64</v>
      </c>
      <c r="IL149" s="1">
        <v>0</v>
      </c>
      <c r="IM149" s="1">
        <v>0</v>
      </c>
      <c r="IN149" s="1">
        <v>80</v>
      </c>
      <c r="IO149" s="1">
        <v>0</v>
      </c>
    </row>
    <row r="150" spans="1:249" x14ac:dyDescent="0.25">
      <c r="A150" s="1">
        <v>149</v>
      </c>
      <c r="B150" s="1" t="s">
        <v>193</v>
      </c>
      <c r="C150" s="1" t="s">
        <v>194</v>
      </c>
      <c r="D150" s="1" t="s">
        <v>222</v>
      </c>
      <c r="E150" s="1" t="s">
        <v>223</v>
      </c>
      <c r="F150" s="1">
        <v>0</v>
      </c>
      <c r="G150" s="1">
        <v>1</v>
      </c>
      <c r="H150" s="1">
        <v>0</v>
      </c>
      <c r="I150" s="1">
        <v>52</v>
      </c>
      <c r="J150" s="1">
        <v>0</v>
      </c>
      <c r="K150" s="1">
        <v>1</v>
      </c>
      <c r="L150" s="1">
        <v>1</v>
      </c>
      <c r="M150" s="1">
        <v>1</v>
      </c>
      <c r="N150" s="1">
        <v>1</v>
      </c>
      <c r="O150" s="1">
        <v>2</v>
      </c>
      <c r="P150" s="1">
        <v>22</v>
      </c>
      <c r="Q150" s="1">
        <v>600</v>
      </c>
      <c r="R150" s="1">
        <v>0</v>
      </c>
      <c r="T150" s="1">
        <v>1</v>
      </c>
      <c r="U150" s="1">
        <v>700</v>
      </c>
      <c r="V150" s="1">
        <v>1</v>
      </c>
      <c r="W150" s="1" t="s">
        <v>240</v>
      </c>
      <c r="X150" s="1">
        <v>5</v>
      </c>
      <c r="Y150" s="1">
        <f t="shared" si="36"/>
        <v>0</v>
      </c>
      <c r="Z150" s="1">
        <f t="shared" si="37"/>
        <v>1</v>
      </c>
      <c r="AA150" s="1">
        <v>11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0</v>
      </c>
      <c r="AK150" s="1">
        <v>0</v>
      </c>
      <c r="AL150" s="1">
        <v>1</v>
      </c>
      <c r="AM150" s="1">
        <v>5</v>
      </c>
      <c r="AO150" s="1">
        <v>1</v>
      </c>
      <c r="AP150" s="1">
        <v>0</v>
      </c>
      <c r="AQ150" s="1">
        <v>0</v>
      </c>
      <c r="AS150" s="1">
        <v>1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1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10</v>
      </c>
      <c r="BG150" s="1" t="s">
        <v>224</v>
      </c>
      <c r="BH150" s="1" t="s">
        <v>211</v>
      </c>
      <c r="BI150" s="1" t="s">
        <v>225</v>
      </c>
      <c r="BR150" s="1">
        <v>1</v>
      </c>
      <c r="BS150" s="1">
        <v>0</v>
      </c>
      <c r="BT150" s="1">
        <v>0</v>
      </c>
      <c r="BU150" s="1">
        <v>1</v>
      </c>
      <c r="BV150" s="1">
        <v>1</v>
      </c>
      <c r="BW150" s="1">
        <v>1</v>
      </c>
      <c r="BX150" s="1">
        <v>0</v>
      </c>
      <c r="BZ150" s="1">
        <v>1</v>
      </c>
      <c r="CF150" s="1">
        <f t="shared" si="38"/>
        <v>0</v>
      </c>
      <c r="CH150" s="1">
        <v>1</v>
      </c>
      <c r="CO150" s="1">
        <v>800</v>
      </c>
      <c r="CV150" s="1">
        <v>1</v>
      </c>
      <c r="DB150" s="7">
        <f t="shared" si="39"/>
        <v>0.8</v>
      </c>
      <c r="DC150" s="5">
        <f t="shared" si="40"/>
        <v>2</v>
      </c>
      <c r="DE150" s="1">
        <v>3300</v>
      </c>
      <c r="DL150" s="1">
        <v>5</v>
      </c>
      <c r="DR150" s="1">
        <f t="shared" si="41"/>
        <v>5</v>
      </c>
      <c r="DZ150" s="1">
        <f t="shared" si="42"/>
        <v>0</v>
      </c>
      <c r="ED150" s="1">
        <v>1</v>
      </c>
      <c r="EF150" s="1">
        <f t="shared" si="43"/>
        <v>1</v>
      </c>
      <c r="EH150" s="1">
        <v>1</v>
      </c>
      <c r="EN150" s="1">
        <f t="shared" si="44"/>
        <v>1</v>
      </c>
      <c r="EP150" s="1">
        <v>1</v>
      </c>
      <c r="EV150" s="1">
        <f t="shared" si="45"/>
        <v>1</v>
      </c>
      <c r="EX150" s="1">
        <v>1</v>
      </c>
      <c r="FE150" s="1">
        <v>1</v>
      </c>
      <c r="FK150" s="1">
        <f t="shared" si="46"/>
        <v>1</v>
      </c>
      <c r="FM150" s="1">
        <v>0</v>
      </c>
      <c r="FS150" s="1">
        <f t="shared" si="47"/>
        <v>0</v>
      </c>
      <c r="FU150" s="1">
        <v>0</v>
      </c>
      <c r="GA150" s="1">
        <f t="shared" si="48"/>
        <v>0</v>
      </c>
      <c r="GJ150" s="1">
        <v>0</v>
      </c>
      <c r="GP150" s="1">
        <f t="shared" si="49"/>
        <v>0</v>
      </c>
      <c r="GR150" s="1">
        <v>10000</v>
      </c>
      <c r="GX150" s="1">
        <f t="shared" si="50"/>
        <v>10</v>
      </c>
      <c r="GZ150" s="1">
        <v>1</v>
      </c>
      <c r="HF150" s="1">
        <f t="shared" si="51"/>
        <v>1</v>
      </c>
      <c r="HH150" s="1">
        <v>9.1999999999999993</v>
      </c>
      <c r="HN150" s="1">
        <f t="shared" si="52"/>
        <v>9.1999999999999993</v>
      </c>
      <c r="HP150" s="1">
        <v>0</v>
      </c>
      <c r="HV150" s="1">
        <f t="shared" si="53"/>
        <v>0</v>
      </c>
      <c r="HX150" s="1" t="s">
        <v>226</v>
      </c>
      <c r="IE150" s="1">
        <v>1</v>
      </c>
      <c r="IK150" s="1">
        <v>0</v>
      </c>
      <c r="IL150" s="1">
        <v>40</v>
      </c>
      <c r="IM150" s="1">
        <v>0</v>
      </c>
      <c r="IN150" s="1">
        <v>40</v>
      </c>
      <c r="IO150" s="1">
        <v>0</v>
      </c>
    </row>
    <row r="151" spans="1:249" x14ac:dyDescent="0.25">
      <c r="A151" s="1">
        <v>150</v>
      </c>
      <c r="B151" s="1" t="s">
        <v>193</v>
      </c>
      <c r="C151" s="1" t="s">
        <v>194</v>
      </c>
      <c r="D151" s="1" t="s">
        <v>219</v>
      </c>
      <c r="E151" s="1" t="s">
        <v>269</v>
      </c>
      <c r="F151" s="1">
        <v>0</v>
      </c>
      <c r="G151" s="1">
        <v>0</v>
      </c>
      <c r="H151" s="1">
        <v>1</v>
      </c>
      <c r="I151" s="1">
        <v>43</v>
      </c>
      <c r="J151" s="1">
        <v>1</v>
      </c>
      <c r="K151" s="1">
        <v>0</v>
      </c>
      <c r="L151" s="1">
        <v>1</v>
      </c>
      <c r="M151" s="1">
        <v>0</v>
      </c>
      <c r="N151" s="1">
        <v>0</v>
      </c>
      <c r="O151" s="1">
        <v>3</v>
      </c>
      <c r="P151" s="1">
        <v>43</v>
      </c>
      <c r="Q151" s="1">
        <v>600</v>
      </c>
      <c r="R151" s="1">
        <v>1</v>
      </c>
      <c r="S151" s="1" t="s">
        <v>220</v>
      </c>
      <c r="T151" s="1">
        <v>1</v>
      </c>
      <c r="U151" s="1">
        <v>700</v>
      </c>
      <c r="V151" s="1">
        <v>1</v>
      </c>
      <c r="W151" s="1" t="s">
        <v>240</v>
      </c>
      <c r="X151" s="1">
        <v>2</v>
      </c>
      <c r="Y151" s="1">
        <f t="shared" si="36"/>
        <v>1</v>
      </c>
      <c r="Z151" s="1">
        <f t="shared" si="37"/>
        <v>0</v>
      </c>
      <c r="AA151" s="1">
        <v>5</v>
      </c>
      <c r="AC151" s="1">
        <v>0</v>
      </c>
      <c r="AD151" s="1">
        <v>0</v>
      </c>
      <c r="AE151" s="1">
        <v>0</v>
      </c>
      <c r="AF151" s="1">
        <v>1</v>
      </c>
      <c r="AG151" s="1">
        <v>1</v>
      </c>
      <c r="AH151" s="1">
        <v>1</v>
      </c>
      <c r="AI151" s="1">
        <v>1</v>
      </c>
      <c r="AJ151" s="1">
        <v>0</v>
      </c>
      <c r="AK151" s="1">
        <v>0</v>
      </c>
      <c r="AL151" s="1">
        <v>1</v>
      </c>
      <c r="AM151" s="1">
        <v>5</v>
      </c>
      <c r="AO151" s="1">
        <v>1</v>
      </c>
      <c r="AP151" s="1">
        <v>1</v>
      </c>
      <c r="AQ151" s="1">
        <v>0</v>
      </c>
      <c r="AS151" s="1">
        <v>1</v>
      </c>
      <c r="AT151" s="1">
        <v>0</v>
      </c>
      <c r="AU151" s="1">
        <v>1</v>
      </c>
      <c r="AV151" s="1">
        <v>0</v>
      </c>
      <c r="AW151" s="1">
        <v>0</v>
      </c>
      <c r="AX151" s="1">
        <v>0</v>
      </c>
      <c r="AY151" s="1">
        <v>1</v>
      </c>
      <c r="AZ151" s="1">
        <v>0</v>
      </c>
      <c r="BA151" s="1">
        <v>1</v>
      </c>
      <c r="BB151" s="1">
        <v>0</v>
      </c>
      <c r="BC151" s="1">
        <v>0</v>
      </c>
      <c r="BD151" s="1">
        <v>0</v>
      </c>
      <c r="BE151" s="1">
        <v>5</v>
      </c>
      <c r="BG151" s="1" t="s">
        <v>224</v>
      </c>
      <c r="BK151" s="1" t="s">
        <v>283</v>
      </c>
      <c r="BL151" s="1" t="s">
        <v>221</v>
      </c>
      <c r="BR151" s="1">
        <v>0</v>
      </c>
      <c r="BS151" s="1">
        <v>1</v>
      </c>
      <c r="BT151" s="1">
        <v>1</v>
      </c>
      <c r="BU151" s="1">
        <v>1</v>
      </c>
      <c r="BV151" s="1">
        <v>1</v>
      </c>
      <c r="BW151" s="1">
        <v>1</v>
      </c>
      <c r="BX151" s="1">
        <v>0</v>
      </c>
      <c r="BZ151" s="1">
        <v>1</v>
      </c>
      <c r="CF151" s="1">
        <f t="shared" si="38"/>
        <v>0</v>
      </c>
      <c r="CH151" s="1">
        <v>1</v>
      </c>
      <c r="CO151" s="1">
        <v>800</v>
      </c>
      <c r="CV151" s="1">
        <v>1</v>
      </c>
      <c r="DB151" s="7">
        <f t="shared" si="39"/>
        <v>0.8</v>
      </c>
      <c r="DC151" s="5">
        <f t="shared" si="40"/>
        <v>2</v>
      </c>
      <c r="DE151" s="1">
        <v>3300</v>
      </c>
      <c r="DL151" s="1">
        <v>5</v>
      </c>
      <c r="DR151" s="1">
        <f t="shared" si="41"/>
        <v>5</v>
      </c>
      <c r="DT151" s="1">
        <v>1</v>
      </c>
      <c r="DZ151" s="1">
        <f t="shared" si="42"/>
        <v>1</v>
      </c>
      <c r="EC151" s="1">
        <v>1</v>
      </c>
      <c r="EF151" s="1">
        <f t="shared" si="43"/>
        <v>1</v>
      </c>
      <c r="EH151" s="1">
        <v>1</v>
      </c>
      <c r="EN151" s="1">
        <f t="shared" si="44"/>
        <v>1</v>
      </c>
      <c r="EP151" s="1">
        <v>1</v>
      </c>
      <c r="EV151" s="1">
        <f t="shared" si="45"/>
        <v>1</v>
      </c>
      <c r="EX151" s="1">
        <v>1</v>
      </c>
      <c r="FE151" s="1">
        <v>1</v>
      </c>
      <c r="FK151" s="1">
        <f t="shared" si="46"/>
        <v>1</v>
      </c>
      <c r="FM151" s="1">
        <v>0</v>
      </c>
      <c r="FS151" s="1">
        <f t="shared" si="47"/>
        <v>0</v>
      </c>
      <c r="FU151" s="1">
        <v>0</v>
      </c>
      <c r="GA151" s="1">
        <f t="shared" si="48"/>
        <v>0</v>
      </c>
      <c r="GJ151" s="1">
        <v>0</v>
      </c>
      <c r="GP151" s="1">
        <f t="shared" si="49"/>
        <v>0</v>
      </c>
      <c r="GR151" s="1">
        <v>10000</v>
      </c>
      <c r="GX151" s="1">
        <f t="shared" si="50"/>
        <v>10</v>
      </c>
      <c r="GZ151" s="1">
        <v>1</v>
      </c>
      <c r="HF151" s="1">
        <f t="shared" si="51"/>
        <v>1</v>
      </c>
      <c r="HH151" s="1">
        <v>8.5</v>
      </c>
      <c r="HN151" s="1">
        <f t="shared" si="52"/>
        <v>8.5</v>
      </c>
      <c r="HP151" s="1">
        <v>0</v>
      </c>
      <c r="HV151" s="1">
        <f t="shared" si="53"/>
        <v>0</v>
      </c>
      <c r="IK151" s="1">
        <v>32</v>
      </c>
      <c r="IL151" s="1">
        <v>40</v>
      </c>
      <c r="IM151" s="1">
        <v>0</v>
      </c>
      <c r="IN151" s="1">
        <v>40</v>
      </c>
      <c r="IO151" s="1">
        <v>0</v>
      </c>
    </row>
    <row r="152" spans="1:249" x14ac:dyDescent="0.25">
      <c r="A152" s="1">
        <v>151</v>
      </c>
      <c r="B152" s="1" t="s">
        <v>193</v>
      </c>
      <c r="C152" s="1" t="s">
        <v>194</v>
      </c>
      <c r="D152" s="1" t="s">
        <v>219</v>
      </c>
      <c r="E152" s="1" t="s">
        <v>219</v>
      </c>
      <c r="F152" s="1">
        <v>0</v>
      </c>
      <c r="G152" s="1">
        <v>1</v>
      </c>
      <c r="H152" s="1">
        <v>0</v>
      </c>
      <c r="I152" s="1">
        <v>52</v>
      </c>
      <c r="J152" s="1">
        <v>0</v>
      </c>
      <c r="K152" s="1">
        <v>1</v>
      </c>
      <c r="L152" s="1">
        <v>1</v>
      </c>
      <c r="M152" s="1">
        <v>1</v>
      </c>
      <c r="N152" s="1">
        <v>1</v>
      </c>
      <c r="O152" s="1">
        <v>7</v>
      </c>
      <c r="P152" s="1">
        <v>25</v>
      </c>
      <c r="Q152" s="1">
        <v>800</v>
      </c>
      <c r="R152" s="1">
        <v>0</v>
      </c>
      <c r="T152" s="1">
        <v>1</v>
      </c>
      <c r="U152" s="1">
        <v>700</v>
      </c>
      <c r="V152" s="1">
        <v>1</v>
      </c>
      <c r="W152" s="1" t="s">
        <v>240</v>
      </c>
      <c r="X152" s="1">
        <v>3</v>
      </c>
      <c r="Y152" s="1">
        <f t="shared" si="36"/>
        <v>1</v>
      </c>
      <c r="Z152" s="1">
        <f t="shared" si="37"/>
        <v>0</v>
      </c>
      <c r="AA152" s="1">
        <v>6</v>
      </c>
      <c r="AC152" s="1">
        <v>0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0</v>
      </c>
      <c r="AK152" s="1">
        <v>1</v>
      </c>
      <c r="AL152" s="1">
        <v>1</v>
      </c>
      <c r="AM152" s="1">
        <v>8</v>
      </c>
      <c r="AO152" s="1">
        <v>1</v>
      </c>
      <c r="AP152" s="1">
        <v>0</v>
      </c>
      <c r="AQ152" s="1">
        <v>0</v>
      </c>
      <c r="AS152" s="1">
        <v>1</v>
      </c>
      <c r="AT152" s="1">
        <v>0</v>
      </c>
      <c r="AU152" s="1">
        <v>1</v>
      </c>
      <c r="AV152" s="1">
        <v>0</v>
      </c>
      <c r="AW152" s="1">
        <v>0</v>
      </c>
      <c r="AX152" s="1">
        <v>0</v>
      </c>
      <c r="AY152" s="1">
        <v>3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5</v>
      </c>
      <c r="BG152" s="1" t="s">
        <v>224</v>
      </c>
      <c r="BH152" s="1" t="s">
        <v>210</v>
      </c>
      <c r="BR152" s="1">
        <v>1</v>
      </c>
      <c r="BS152" s="1">
        <v>1</v>
      </c>
      <c r="BT152" s="1">
        <v>1</v>
      </c>
      <c r="BU152" s="1">
        <v>1</v>
      </c>
      <c r="BV152" s="1">
        <v>1</v>
      </c>
      <c r="BW152" s="1">
        <v>1</v>
      </c>
      <c r="BX152" s="1">
        <v>0</v>
      </c>
      <c r="BZ152" s="1">
        <v>1</v>
      </c>
      <c r="CF152" s="1">
        <f t="shared" si="38"/>
        <v>0</v>
      </c>
      <c r="CH152" s="1">
        <v>3</v>
      </c>
      <c r="CO152" s="1">
        <v>900</v>
      </c>
      <c r="CV152" s="1">
        <v>3</v>
      </c>
      <c r="DB152" s="7">
        <f t="shared" si="39"/>
        <v>0.3</v>
      </c>
      <c r="DC152" s="5">
        <f t="shared" si="40"/>
        <v>1</v>
      </c>
      <c r="DE152" s="1">
        <v>3300</v>
      </c>
      <c r="DL152" s="1">
        <v>6</v>
      </c>
      <c r="DR152" s="1">
        <f t="shared" si="41"/>
        <v>6</v>
      </c>
      <c r="DT152" s="1">
        <v>1</v>
      </c>
      <c r="DZ152" s="1">
        <f t="shared" si="42"/>
        <v>1</v>
      </c>
      <c r="ED152" s="1">
        <v>1</v>
      </c>
      <c r="EF152" s="1">
        <f t="shared" si="43"/>
        <v>1</v>
      </c>
      <c r="EH152" s="1">
        <v>1</v>
      </c>
      <c r="EN152" s="1">
        <f t="shared" si="44"/>
        <v>1</v>
      </c>
      <c r="EP152" s="1">
        <v>1</v>
      </c>
      <c r="EV152" s="1">
        <f t="shared" si="45"/>
        <v>1</v>
      </c>
      <c r="EX152" s="1">
        <v>1</v>
      </c>
      <c r="FE152" s="1">
        <v>1</v>
      </c>
      <c r="FK152" s="1">
        <f t="shared" si="46"/>
        <v>1</v>
      </c>
      <c r="FM152" s="1">
        <v>0</v>
      </c>
      <c r="FS152" s="1">
        <f t="shared" si="47"/>
        <v>0</v>
      </c>
      <c r="FU152" s="1">
        <v>0</v>
      </c>
      <c r="GA152" s="1">
        <f t="shared" si="48"/>
        <v>0</v>
      </c>
      <c r="GJ152" s="1">
        <v>0</v>
      </c>
      <c r="GP152" s="1">
        <f t="shared" si="49"/>
        <v>0</v>
      </c>
      <c r="GR152" s="1">
        <v>30000</v>
      </c>
      <c r="GX152" s="1">
        <f t="shared" si="50"/>
        <v>30</v>
      </c>
      <c r="GZ152" s="1">
        <v>1</v>
      </c>
      <c r="HF152" s="1">
        <f t="shared" si="51"/>
        <v>1</v>
      </c>
      <c r="HH152" s="1">
        <v>12.5</v>
      </c>
      <c r="HN152" s="1">
        <f t="shared" si="52"/>
        <v>12.5</v>
      </c>
      <c r="HP152" s="1">
        <v>0</v>
      </c>
      <c r="HV152" s="1">
        <f t="shared" si="53"/>
        <v>0</v>
      </c>
      <c r="IK152" s="1">
        <v>96</v>
      </c>
      <c r="IL152" s="1">
        <v>120</v>
      </c>
      <c r="IM152" s="1">
        <v>24</v>
      </c>
      <c r="IN152" s="1">
        <v>120</v>
      </c>
      <c r="IO152" s="1">
        <v>0</v>
      </c>
    </row>
    <row r="153" spans="1:249" x14ac:dyDescent="0.25">
      <c r="A153" s="1">
        <v>152</v>
      </c>
      <c r="B153" s="1" t="s">
        <v>193</v>
      </c>
      <c r="C153" s="1" t="s">
        <v>194</v>
      </c>
      <c r="D153" s="1" t="s">
        <v>222</v>
      </c>
      <c r="E153" s="1" t="s">
        <v>229</v>
      </c>
      <c r="F153" s="1">
        <v>0</v>
      </c>
      <c r="G153" s="1">
        <v>0</v>
      </c>
      <c r="H153" s="1">
        <v>1</v>
      </c>
      <c r="I153" s="1">
        <v>52</v>
      </c>
      <c r="J153" s="1">
        <v>0</v>
      </c>
      <c r="K153" s="1">
        <v>1</v>
      </c>
      <c r="M153" s="1">
        <v>1</v>
      </c>
      <c r="N153" s="1">
        <v>1</v>
      </c>
      <c r="O153" s="1">
        <v>5</v>
      </c>
      <c r="P153" s="1">
        <v>30</v>
      </c>
      <c r="Q153" s="1">
        <v>800</v>
      </c>
      <c r="R153" s="1">
        <v>1</v>
      </c>
      <c r="S153" s="1" t="s">
        <v>220</v>
      </c>
      <c r="T153" s="1">
        <v>1</v>
      </c>
      <c r="U153" s="1">
        <v>400</v>
      </c>
      <c r="V153" s="1">
        <v>0</v>
      </c>
      <c r="X153" s="1">
        <v>1</v>
      </c>
      <c r="Y153" s="1">
        <f t="shared" si="36"/>
        <v>0</v>
      </c>
      <c r="Z153" s="1">
        <f t="shared" si="37"/>
        <v>0</v>
      </c>
      <c r="AA153" s="1">
        <v>5</v>
      </c>
      <c r="AC153" s="1">
        <v>0</v>
      </c>
      <c r="AD153" s="1">
        <v>0</v>
      </c>
      <c r="AE153" s="1">
        <v>0</v>
      </c>
      <c r="AF153" s="1">
        <v>1</v>
      </c>
      <c r="AG153" s="1">
        <v>1</v>
      </c>
      <c r="AH153" s="1">
        <v>0</v>
      </c>
      <c r="AI153" s="1">
        <v>1</v>
      </c>
      <c r="AJ153" s="1">
        <v>0</v>
      </c>
      <c r="AK153" s="1">
        <v>0</v>
      </c>
      <c r="AL153" s="1">
        <v>1</v>
      </c>
      <c r="AM153" s="1">
        <v>6</v>
      </c>
      <c r="AO153" s="1">
        <v>1</v>
      </c>
      <c r="AP153" s="1">
        <v>0</v>
      </c>
      <c r="AQ153" s="1">
        <v>0</v>
      </c>
      <c r="AS153" s="1">
        <v>1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3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6</v>
      </c>
      <c r="BG153" s="1" t="s">
        <v>224</v>
      </c>
      <c r="BH153" s="1" t="s">
        <v>210</v>
      </c>
      <c r="BI153" s="1" t="s">
        <v>230</v>
      </c>
      <c r="BR153" s="1">
        <v>1</v>
      </c>
      <c r="BS153" s="1">
        <v>0</v>
      </c>
      <c r="BT153" s="1">
        <v>0</v>
      </c>
      <c r="BU153" s="1">
        <v>1</v>
      </c>
      <c r="BV153" s="1">
        <v>0</v>
      </c>
      <c r="BW153" s="1">
        <v>1</v>
      </c>
      <c r="BX153" s="1">
        <v>0</v>
      </c>
      <c r="BZ153" s="1">
        <v>1</v>
      </c>
      <c r="CF153" s="1">
        <f t="shared" si="38"/>
        <v>0</v>
      </c>
      <c r="CH153" s="1">
        <v>3</v>
      </c>
      <c r="CO153" s="1">
        <v>1000</v>
      </c>
      <c r="CV153" s="1">
        <v>3</v>
      </c>
      <c r="DB153" s="7">
        <f t="shared" si="39"/>
        <v>0.33333333333333331</v>
      </c>
      <c r="DC153" s="5">
        <f t="shared" si="40"/>
        <v>1</v>
      </c>
      <c r="DE153" s="1">
        <v>3000</v>
      </c>
      <c r="DL153" s="1">
        <v>6</v>
      </c>
      <c r="DR153" s="1">
        <f t="shared" si="41"/>
        <v>6</v>
      </c>
      <c r="DZ153" s="1">
        <f t="shared" si="42"/>
        <v>0</v>
      </c>
      <c r="EF153" s="1">
        <f t="shared" si="43"/>
        <v>0</v>
      </c>
      <c r="EH153" s="1">
        <v>0</v>
      </c>
      <c r="EN153" s="1">
        <f t="shared" si="44"/>
        <v>0</v>
      </c>
      <c r="EP153" s="1">
        <v>1</v>
      </c>
      <c r="EV153" s="1">
        <f t="shared" si="45"/>
        <v>1</v>
      </c>
      <c r="EX153" s="1">
        <v>1</v>
      </c>
      <c r="FE153" s="1">
        <v>1</v>
      </c>
      <c r="FK153" s="1">
        <f t="shared" si="46"/>
        <v>1</v>
      </c>
      <c r="FM153" s="1">
        <v>0</v>
      </c>
      <c r="FS153" s="1">
        <f t="shared" si="47"/>
        <v>0</v>
      </c>
      <c r="FU153" s="1">
        <v>0</v>
      </c>
      <c r="GA153" s="1">
        <f t="shared" si="48"/>
        <v>0</v>
      </c>
      <c r="GJ153" s="1">
        <v>0</v>
      </c>
      <c r="GP153" s="1">
        <f t="shared" si="49"/>
        <v>0</v>
      </c>
      <c r="GR153" s="1">
        <v>5000</v>
      </c>
      <c r="GX153" s="1">
        <f t="shared" si="50"/>
        <v>5</v>
      </c>
      <c r="GZ153" s="1">
        <v>1</v>
      </c>
      <c r="HF153" s="1">
        <f t="shared" si="51"/>
        <v>1</v>
      </c>
      <c r="HH153" s="1">
        <v>9</v>
      </c>
      <c r="HN153" s="1">
        <f t="shared" si="52"/>
        <v>9</v>
      </c>
      <c r="HP153" s="1">
        <v>0</v>
      </c>
      <c r="HV153" s="1">
        <f t="shared" si="53"/>
        <v>0</v>
      </c>
      <c r="IK153" s="1">
        <v>0</v>
      </c>
      <c r="IL153" s="1">
        <v>120</v>
      </c>
      <c r="IM153" s="1">
        <v>0</v>
      </c>
      <c r="IN153" s="1">
        <v>120</v>
      </c>
      <c r="IO153" s="1">
        <v>0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8CC2-AF57-4205-B2EF-D8B6AB187BD8}">
  <dimension ref="A1:A239"/>
  <sheetViews>
    <sheetView workbookViewId="0">
      <selection activeCell="A25" sqref="A25"/>
    </sheetView>
  </sheetViews>
  <sheetFormatPr baseColWidth="10" defaultRowHeight="15" x14ac:dyDescent="0.25"/>
  <cols>
    <col min="1" max="1" width="137" bestFit="1" customWidth="1"/>
  </cols>
  <sheetData>
    <row r="1" spans="1:1" x14ac:dyDescent="0.25">
      <c r="A1" t="s">
        <v>346</v>
      </c>
    </row>
    <row r="2" spans="1:1" x14ac:dyDescent="0.25">
      <c r="A2" t="s">
        <v>347</v>
      </c>
    </row>
    <row r="3" spans="1:1" x14ac:dyDescent="0.25">
      <c r="A3" t="s">
        <v>348</v>
      </c>
    </row>
    <row r="4" spans="1:1" x14ac:dyDescent="0.25">
      <c r="A4" t="s">
        <v>349</v>
      </c>
    </row>
    <row r="5" spans="1:1" x14ac:dyDescent="0.25">
      <c r="A5" t="s">
        <v>350</v>
      </c>
    </row>
    <row r="6" spans="1:1" x14ac:dyDescent="0.25">
      <c r="A6" t="s">
        <v>351</v>
      </c>
    </row>
    <row r="7" spans="1:1" x14ac:dyDescent="0.25">
      <c r="A7" t="s">
        <v>352</v>
      </c>
    </row>
    <row r="8" spans="1:1" x14ac:dyDescent="0.25">
      <c r="A8" t="s">
        <v>353</v>
      </c>
    </row>
    <row r="9" spans="1:1" x14ac:dyDescent="0.25">
      <c r="A9" t="s">
        <v>354</v>
      </c>
    </row>
    <row r="10" spans="1:1" x14ac:dyDescent="0.25">
      <c r="A10" t="s">
        <v>355</v>
      </c>
    </row>
    <row r="11" spans="1:1" x14ac:dyDescent="0.25">
      <c r="A11" t="s">
        <v>356</v>
      </c>
    </row>
    <row r="12" spans="1:1" ht="18.75" customHeight="1" x14ac:dyDescent="0.25">
      <c r="A12" t="s">
        <v>357</v>
      </c>
    </row>
    <row r="13" spans="1:1" x14ac:dyDescent="0.25">
      <c r="A13" t="s">
        <v>358</v>
      </c>
    </row>
    <row r="14" spans="1:1" x14ac:dyDescent="0.25">
      <c r="A14" t="s">
        <v>359</v>
      </c>
    </row>
    <row r="15" spans="1:1" x14ac:dyDescent="0.25">
      <c r="A15" t="s">
        <v>360</v>
      </c>
    </row>
    <row r="16" spans="1:1" x14ac:dyDescent="0.25">
      <c r="A16" t="s">
        <v>361</v>
      </c>
    </row>
    <row r="17" spans="1:1" x14ac:dyDescent="0.25">
      <c r="A17" t="s">
        <v>362</v>
      </c>
    </row>
    <row r="18" spans="1:1" x14ac:dyDescent="0.25">
      <c r="A18" t="s">
        <v>363</v>
      </c>
    </row>
    <row r="19" spans="1:1" x14ac:dyDescent="0.25">
      <c r="A19" t="s">
        <v>364</v>
      </c>
    </row>
    <row r="20" spans="1:1" x14ac:dyDescent="0.25">
      <c r="A20" t="s">
        <v>365</v>
      </c>
    </row>
    <row r="21" spans="1:1" x14ac:dyDescent="0.25">
      <c r="A21" t="s">
        <v>366</v>
      </c>
    </row>
    <row r="22" spans="1:1" x14ac:dyDescent="0.25">
      <c r="A22" t="s">
        <v>367</v>
      </c>
    </row>
    <row r="23" spans="1:1" x14ac:dyDescent="0.25">
      <c r="A23" t="s">
        <v>368</v>
      </c>
    </row>
    <row r="24" spans="1:1" x14ac:dyDescent="0.25">
      <c r="A24" t="s">
        <v>369</v>
      </c>
    </row>
    <row r="25" spans="1:1" x14ac:dyDescent="0.25">
      <c r="A25" t="s">
        <v>370</v>
      </c>
    </row>
    <row r="26" spans="1:1" x14ac:dyDescent="0.25">
      <c r="A26" t="s">
        <v>371</v>
      </c>
    </row>
    <row r="27" spans="1:1" x14ac:dyDescent="0.25">
      <c r="A27" t="s">
        <v>372</v>
      </c>
    </row>
    <row r="28" spans="1:1" x14ac:dyDescent="0.25">
      <c r="A28" t="s">
        <v>373</v>
      </c>
    </row>
    <row r="29" spans="1:1" x14ac:dyDescent="0.25">
      <c r="A29" t="s">
        <v>374</v>
      </c>
    </row>
    <row r="30" spans="1:1" x14ac:dyDescent="0.25">
      <c r="A30" t="s">
        <v>375</v>
      </c>
    </row>
    <row r="31" spans="1:1" x14ac:dyDescent="0.25">
      <c r="A31" t="s">
        <v>376</v>
      </c>
    </row>
    <row r="32" spans="1:1" x14ac:dyDescent="0.25">
      <c r="A32" t="s">
        <v>377</v>
      </c>
    </row>
    <row r="33" spans="1:1" x14ac:dyDescent="0.25">
      <c r="A33" t="s">
        <v>378</v>
      </c>
    </row>
    <row r="34" spans="1:1" x14ac:dyDescent="0.25">
      <c r="A34" t="s">
        <v>379</v>
      </c>
    </row>
    <row r="35" spans="1:1" x14ac:dyDescent="0.25">
      <c r="A35" t="s">
        <v>380</v>
      </c>
    </row>
    <row r="36" spans="1:1" x14ac:dyDescent="0.25">
      <c r="A36" t="s">
        <v>381</v>
      </c>
    </row>
    <row r="37" spans="1:1" x14ac:dyDescent="0.25">
      <c r="A37" t="s">
        <v>382</v>
      </c>
    </row>
    <row r="38" spans="1:1" x14ac:dyDescent="0.25">
      <c r="A38" t="s">
        <v>383</v>
      </c>
    </row>
    <row r="39" spans="1:1" x14ac:dyDescent="0.25">
      <c r="A39" t="s">
        <v>384</v>
      </c>
    </row>
    <row r="40" spans="1:1" x14ac:dyDescent="0.25">
      <c r="A40" t="s">
        <v>385</v>
      </c>
    </row>
    <row r="41" spans="1:1" x14ac:dyDescent="0.25">
      <c r="A41" t="s">
        <v>386</v>
      </c>
    </row>
    <row r="42" spans="1:1" x14ac:dyDescent="0.25">
      <c r="A42" t="s">
        <v>387</v>
      </c>
    </row>
    <row r="43" spans="1:1" x14ac:dyDescent="0.25">
      <c r="A43" t="s">
        <v>388</v>
      </c>
    </row>
    <row r="44" spans="1:1" x14ac:dyDescent="0.25">
      <c r="A44" t="s">
        <v>389</v>
      </c>
    </row>
    <row r="45" spans="1:1" x14ac:dyDescent="0.25">
      <c r="A45" t="s">
        <v>390</v>
      </c>
    </row>
    <row r="46" spans="1:1" x14ac:dyDescent="0.25">
      <c r="A46" t="s">
        <v>391</v>
      </c>
    </row>
    <row r="47" spans="1:1" x14ac:dyDescent="0.25">
      <c r="A47" t="s">
        <v>392</v>
      </c>
    </row>
    <row r="48" spans="1:1" x14ac:dyDescent="0.25">
      <c r="A48" t="s">
        <v>393</v>
      </c>
    </row>
    <row r="49" spans="1:1" x14ac:dyDescent="0.25">
      <c r="A49" t="s">
        <v>394</v>
      </c>
    </row>
    <row r="50" spans="1:1" x14ac:dyDescent="0.25">
      <c r="A50" t="s">
        <v>395</v>
      </c>
    </row>
    <row r="51" spans="1:1" x14ac:dyDescent="0.25">
      <c r="A51" t="s">
        <v>396</v>
      </c>
    </row>
    <row r="52" spans="1:1" x14ac:dyDescent="0.25">
      <c r="A52" t="s">
        <v>397</v>
      </c>
    </row>
    <row r="53" spans="1:1" x14ac:dyDescent="0.25">
      <c r="A53" t="s">
        <v>398</v>
      </c>
    </row>
    <row r="54" spans="1:1" x14ac:dyDescent="0.25">
      <c r="A54" t="s">
        <v>399</v>
      </c>
    </row>
    <row r="55" spans="1:1" x14ac:dyDescent="0.25">
      <c r="A55" t="s">
        <v>400</v>
      </c>
    </row>
    <row r="56" spans="1:1" x14ac:dyDescent="0.25">
      <c r="A56" t="s">
        <v>401</v>
      </c>
    </row>
    <row r="57" spans="1:1" x14ac:dyDescent="0.25">
      <c r="A57" t="s">
        <v>402</v>
      </c>
    </row>
    <row r="58" spans="1:1" x14ac:dyDescent="0.25">
      <c r="A58" t="s">
        <v>403</v>
      </c>
    </row>
    <row r="59" spans="1:1" x14ac:dyDescent="0.25">
      <c r="A59" t="s">
        <v>404</v>
      </c>
    </row>
    <row r="60" spans="1:1" x14ac:dyDescent="0.25">
      <c r="A60" t="s">
        <v>405</v>
      </c>
    </row>
    <row r="61" spans="1:1" x14ac:dyDescent="0.25">
      <c r="A61" t="s">
        <v>406</v>
      </c>
    </row>
    <row r="62" spans="1:1" x14ac:dyDescent="0.25">
      <c r="A62" t="s">
        <v>407</v>
      </c>
    </row>
    <row r="63" spans="1:1" x14ac:dyDescent="0.25">
      <c r="A63" t="s">
        <v>408</v>
      </c>
    </row>
    <row r="64" spans="1:1" x14ac:dyDescent="0.25">
      <c r="A64" t="s">
        <v>409</v>
      </c>
    </row>
    <row r="65" spans="1:1" x14ac:dyDescent="0.25">
      <c r="A65" t="s">
        <v>410</v>
      </c>
    </row>
    <row r="66" spans="1:1" x14ac:dyDescent="0.25">
      <c r="A66" t="s">
        <v>411</v>
      </c>
    </row>
    <row r="67" spans="1:1" x14ac:dyDescent="0.25">
      <c r="A67" t="s">
        <v>412</v>
      </c>
    </row>
    <row r="68" spans="1:1" x14ac:dyDescent="0.25">
      <c r="A68" t="s">
        <v>413</v>
      </c>
    </row>
    <row r="69" spans="1:1" x14ac:dyDescent="0.25">
      <c r="A69" t="s">
        <v>414</v>
      </c>
    </row>
    <row r="70" spans="1:1" x14ac:dyDescent="0.25">
      <c r="A70" t="s">
        <v>415</v>
      </c>
    </row>
    <row r="71" spans="1:1" x14ac:dyDescent="0.25">
      <c r="A71" t="s">
        <v>416</v>
      </c>
    </row>
    <row r="72" spans="1:1" x14ac:dyDescent="0.25">
      <c r="A72" t="s">
        <v>417</v>
      </c>
    </row>
    <row r="73" spans="1:1" x14ac:dyDescent="0.25">
      <c r="A73" t="s">
        <v>418</v>
      </c>
    </row>
    <row r="74" spans="1:1" x14ac:dyDescent="0.25">
      <c r="A74" t="s">
        <v>419</v>
      </c>
    </row>
    <row r="75" spans="1:1" x14ac:dyDescent="0.25">
      <c r="A75" t="s">
        <v>420</v>
      </c>
    </row>
    <row r="76" spans="1:1" x14ac:dyDescent="0.25">
      <c r="A76" t="s">
        <v>421</v>
      </c>
    </row>
    <row r="77" spans="1:1" x14ac:dyDescent="0.25">
      <c r="A77" t="s">
        <v>422</v>
      </c>
    </row>
    <row r="78" spans="1:1" x14ac:dyDescent="0.25">
      <c r="A78" t="s">
        <v>423</v>
      </c>
    </row>
    <row r="79" spans="1:1" x14ac:dyDescent="0.25">
      <c r="A79" t="s">
        <v>424</v>
      </c>
    </row>
    <row r="80" spans="1:1" x14ac:dyDescent="0.25">
      <c r="A80" t="s">
        <v>425</v>
      </c>
    </row>
    <row r="81" spans="1:1" x14ac:dyDescent="0.25">
      <c r="A81" t="s">
        <v>426</v>
      </c>
    </row>
    <row r="82" spans="1:1" x14ac:dyDescent="0.25">
      <c r="A82" t="s">
        <v>427</v>
      </c>
    </row>
    <row r="83" spans="1:1" x14ac:dyDescent="0.25">
      <c r="A83" t="s">
        <v>428</v>
      </c>
    </row>
    <row r="84" spans="1:1" x14ac:dyDescent="0.25">
      <c r="A84" t="s">
        <v>429</v>
      </c>
    </row>
    <row r="85" spans="1:1" x14ac:dyDescent="0.25">
      <c r="A85" t="s">
        <v>430</v>
      </c>
    </row>
    <row r="86" spans="1:1" x14ac:dyDescent="0.25">
      <c r="A86" t="s">
        <v>431</v>
      </c>
    </row>
    <row r="87" spans="1:1" x14ac:dyDescent="0.25">
      <c r="A87" t="s">
        <v>432</v>
      </c>
    </row>
    <row r="88" spans="1:1" x14ac:dyDescent="0.25">
      <c r="A88" t="s">
        <v>433</v>
      </c>
    </row>
    <row r="89" spans="1:1" x14ac:dyDescent="0.25">
      <c r="A89" t="s">
        <v>434</v>
      </c>
    </row>
    <row r="90" spans="1:1" x14ac:dyDescent="0.25">
      <c r="A90" t="s">
        <v>435</v>
      </c>
    </row>
    <row r="91" spans="1:1" x14ac:dyDescent="0.25">
      <c r="A91" t="s">
        <v>436</v>
      </c>
    </row>
    <row r="92" spans="1:1" x14ac:dyDescent="0.25">
      <c r="A92" t="s">
        <v>437</v>
      </c>
    </row>
    <row r="93" spans="1:1" x14ac:dyDescent="0.25">
      <c r="A93" t="s">
        <v>438</v>
      </c>
    </row>
    <row r="94" spans="1:1" x14ac:dyDescent="0.25">
      <c r="A94" t="s">
        <v>439</v>
      </c>
    </row>
    <row r="95" spans="1:1" x14ac:dyDescent="0.25">
      <c r="A95" t="s">
        <v>440</v>
      </c>
    </row>
    <row r="96" spans="1:1" x14ac:dyDescent="0.25">
      <c r="A96" t="s">
        <v>441</v>
      </c>
    </row>
    <row r="97" spans="1:1" x14ac:dyDescent="0.25">
      <c r="A97" t="s">
        <v>442</v>
      </c>
    </row>
    <row r="98" spans="1:1" x14ac:dyDescent="0.25">
      <c r="A98" t="s">
        <v>443</v>
      </c>
    </row>
    <row r="99" spans="1:1" x14ac:dyDescent="0.25">
      <c r="A99" t="s">
        <v>444</v>
      </c>
    </row>
    <row r="100" spans="1:1" x14ac:dyDescent="0.25">
      <c r="A100" t="s">
        <v>445</v>
      </c>
    </row>
    <row r="101" spans="1:1" x14ac:dyDescent="0.25">
      <c r="A101" t="s">
        <v>446</v>
      </c>
    </row>
    <row r="102" spans="1:1" x14ac:dyDescent="0.25">
      <c r="A102" t="s">
        <v>447</v>
      </c>
    </row>
    <row r="103" spans="1:1" x14ac:dyDescent="0.25">
      <c r="A103" t="s">
        <v>448</v>
      </c>
    </row>
    <row r="104" spans="1:1" x14ac:dyDescent="0.25">
      <c r="A104" t="s">
        <v>449</v>
      </c>
    </row>
    <row r="105" spans="1:1" x14ac:dyDescent="0.25">
      <c r="A105" t="s">
        <v>450</v>
      </c>
    </row>
    <row r="106" spans="1:1" x14ac:dyDescent="0.25">
      <c r="A106" t="s">
        <v>451</v>
      </c>
    </row>
    <row r="107" spans="1:1" x14ac:dyDescent="0.25">
      <c r="A107" t="s">
        <v>452</v>
      </c>
    </row>
    <row r="108" spans="1:1" x14ac:dyDescent="0.25">
      <c r="A108" t="s">
        <v>453</v>
      </c>
    </row>
    <row r="109" spans="1:1" x14ac:dyDescent="0.25">
      <c r="A109" t="s">
        <v>454</v>
      </c>
    </row>
    <row r="110" spans="1:1" x14ac:dyDescent="0.25">
      <c r="A110" t="s">
        <v>455</v>
      </c>
    </row>
    <row r="111" spans="1:1" x14ac:dyDescent="0.25">
      <c r="A111" t="s">
        <v>456</v>
      </c>
    </row>
    <row r="112" spans="1:1" x14ac:dyDescent="0.25">
      <c r="A112" t="s">
        <v>457</v>
      </c>
    </row>
    <row r="113" spans="1:1" x14ac:dyDescent="0.25">
      <c r="A113" t="s">
        <v>458</v>
      </c>
    </row>
    <row r="114" spans="1:1" x14ac:dyDescent="0.25">
      <c r="A114" t="s">
        <v>459</v>
      </c>
    </row>
    <row r="115" spans="1:1" x14ac:dyDescent="0.25">
      <c r="A115" t="s">
        <v>460</v>
      </c>
    </row>
    <row r="116" spans="1:1" x14ac:dyDescent="0.25">
      <c r="A116" t="s">
        <v>461</v>
      </c>
    </row>
    <row r="117" spans="1:1" x14ac:dyDescent="0.25">
      <c r="A117" t="s">
        <v>462</v>
      </c>
    </row>
    <row r="118" spans="1:1" x14ac:dyDescent="0.25">
      <c r="A118" t="s">
        <v>463</v>
      </c>
    </row>
    <row r="119" spans="1:1" x14ac:dyDescent="0.25">
      <c r="A119" t="s">
        <v>464</v>
      </c>
    </row>
    <row r="120" spans="1:1" x14ac:dyDescent="0.25">
      <c r="A120" t="s">
        <v>465</v>
      </c>
    </row>
    <row r="121" spans="1:1" x14ac:dyDescent="0.25">
      <c r="A121" t="s">
        <v>466</v>
      </c>
    </row>
    <row r="122" spans="1:1" x14ac:dyDescent="0.25">
      <c r="A122" t="s">
        <v>467</v>
      </c>
    </row>
    <row r="123" spans="1:1" x14ac:dyDescent="0.25">
      <c r="A123" t="s">
        <v>468</v>
      </c>
    </row>
    <row r="124" spans="1:1" x14ac:dyDescent="0.25">
      <c r="A124" t="s">
        <v>469</v>
      </c>
    </row>
    <row r="125" spans="1:1" x14ac:dyDescent="0.25">
      <c r="A125" t="s">
        <v>470</v>
      </c>
    </row>
    <row r="126" spans="1:1" x14ac:dyDescent="0.25">
      <c r="A126" t="s">
        <v>471</v>
      </c>
    </row>
    <row r="127" spans="1:1" x14ac:dyDescent="0.25">
      <c r="A127" t="s">
        <v>472</v>
      </c>
    </row>
    <row r="128" spans="1:1" x14ac:dyDescent="0.25">
      <c r="A128" t="s">
        <v>473</v>
      </c>
    </row>
    <row r="129" spans="1:1" x14ac:dyDescent="0.25">
      <c r="A129" t="s">
        <v>474</v>
      </c>
    </row>
    <row r="130" spans="1:1" x14ac:dyDescent="0.25">
      <c r="A130" t="s">
        <v>475</v>
      </c>
    </row>
    <row r="131" spans="1:1" x14ac:dyDescent="0.25">
      <c r="A131" t="s">
        <v>476</v>
      </c>
    </row>
    <row r="132" spans="1:1" x14ac:dyDescent="0.25">
      <c r="A132" t="s">
        <v>477</v>
      </c>
    </row>
    <row r="133" spans="1:1" x14ac:dyDescent="0.25">
      <c r="A133" t="s">
        <v>478</v>
      </c>
    </row>
    <row r="134" spans="1:1" x14ac:dyDescent="0.25">
      <c r="A134" t="s">
        <v>479</v>
      </c>
    </row>
    <row r="135" spans="1:1" x14ac:dyDescent="0.25">
      <c r="A135" t="s">
        <v>480</v>
      </c>
    </row>
    <row r="136" spans="1:1" x14ac:dyDescent="0.25">
      <c r="A136" t="s">
        <v>481</v>
      </c>
    </row>
    <row r="137" spans="1:1" x14ac:dyDescent="0.25">
      <c r="A137" t="s">
        <v>482</v>
      </c>
    </row>
    <row r="138" spans="1:1" x14ac:dyDescent="0.25">
      <c r="A138" t="s">
        <v>483</v>
      </c>
    </row>
    <row r="139" spans="1:1" x14ac:dyDescent="0.25">
      <c r="A139" t="s">
        <v>484</v>
      </c>
    </row>
    <row r="140" spans="1:1" x14ac:dyDescent="0.25">
      <c r="A140" t="s">
        <v>485</v>
      </c>
    </row>
    <row r="141" spans="1:1" x14ac:dyDescent="0.25">
      <c r="A141" t="s">
        <v>486</v>
      </c>
    </row>
    <row r="142" spans="1:1" x14ac:dyDescent="0.25">
      <c r="A142" t="s">
        <v>487</v>
      </c>
    </row>
    <row r="143" spans="1:1" x14ac:dyDescent="0.25">
      <c r="A143" t="s">
        <v>488</v>
      </c>
    </row>
    <row r="144" spans="1:1" x14ac:dyDescent="0.25">
      <c r="A144" t="s">
        <v>489</v>
      </c>
    </row>
    <row r="145" spans="1:1" x14ac:dyDescent="0.25">
      <c r="A145" t="s">
        <v>490</v>
      </c>
    </row>
    <row r="146" spans="1:1" x14ac:dyDescent="0.25">
      <c r="A146" t="s">
        <v>491</v>
      </c>
    </row>
    <row r="147" spans="1:1" x14ac:dyDescent="0.25">
      <c r="A147" t="s">
        <v>492</v>
      </c>
    </row>
    <row r="148" spans="1:1" x14ac:dyDescent="0.25">
      <c r="A148" t="s">
        <v>493</v>
      </c>
    </row>
    <row r="149" spans="1:1" x14ac:dyDescent="0.25">
      <c r="A149" t="s">
        <v>494</v>
      </c>
    </row>
    <row r="150" spans="1:1" x14ac:dyDescent="0.25">
      <c r="A150" t="s">
        <v>495</v>
      </c>
    </row>
    <row r="151" spans="1:1" x14ac:dyDescent="0.25">
      <c r="A151" t="s">
        <v>496</v>
      </c>
    </row>
    <row r="152" spans="1:1" x14ac:dyDescent="0.25">
      <c r="A152" t="s">
        <v>497</v>
      </c>
    </row>
    <row r="153" spans="1:1" x14ac:dyDescent="0.25">
      <c r="A153" t="s">
        <v>498</v>
      </c>
    </row>
    <row r="154" spans="1:1" x14ac:dyDescent="0.25">
      <c r="A154" t="s">
        <v>499</v>
      </c>
    </row>
    <row r="155" spans="1:1" x14ac:dyDescent="0.25">
      <c r="A155" t="s">
        <v>500</v>
      </c>
    </row>
    <row r="156" spans="1:1" x14ac:dyDescent="0.25">
      <c r="A156" t="s">
        <v>501</v>
      </c>
    </row>
    <row r="157" spans="1:1" x14ac:dyDescent="0.25">
      <c r="A157" t="s">
        <v>502</v>
      </c>
    </row>
    <row r="158" spans="1:1" x14ac:dyDescent="0.25">
      <c r="A158" t="s">
        <v>503</v>
      </c>
    </row>
    <row r="159" spans="1:1" x14ac:dyDescent="0.25">
      <c r="A159" t="s">
        <v>504</v>
      </c>
    </row>
    <row r="160" spans="1:1" x14ac:dyDescent="0.25">
      <c r="A160" t="s">
        <v>505</v>
      </c>
    </row>
    <row r="161" spans="1:1" x14ac:dyDescent="0.25">
      <c r="A161" t="s">
        <v>506</v>
      </c>
    </row>
    <row r="162" spans="1:1" x14ac:dyDescent="0.25">
      <c r="A162" t="s">
        <v>507</v>
      </c>
    </row>
    <row r="163" spans="1:1" x14ac:dyDescent="0.25">
      <c r="A163" t="s">
        <v>508</v>
      </c>
    </row>
    <row r="164" spans="1:1" x14ac:dyDescent="0.25">
      <c r="A164" t="s">
        <v>509</v>
      </c>
    </row>
    <row r="165" spans="1:1" x14ac:dyDescent="0.25">
      <c r="A165" t="s">
        <v>510</v>
      </c>
    </row>
    <row r="166" spans="1:1" x14ac:dyDescent="0.25">
      <c r="A166" t="s">
        <v>511</v>
      </c>
    </row>
    <row r="167" spans="1:1" x14ac:dyDescent="0.25">
      <c r="A167" t="s">
        <v>512</v>
      </c>
    </row>
    <row r="168" spans="1:1" x14ac:dyDescent="0.25">
      <c r="A168" t="s">
        <v>513</v>
      </c>
    </row>
    <row r="169" spans="1:1" x14ac:dyDescent="0.25">
      <c r="A169" t="s">
        <v>514</v>
      </c>
    </row>
    <row r="170" spans="1:1" x14ac:dyDescent="0.25">
      <c r="A170" t="s">
        <v>515</v>
      </c>
    </row>
    <row r="171" spans="1:1" x14ac:dyDescent="0.25">
      <c r="A171" t="s">
        <v>516</v>
      </c>
    </row>
    <row r="172" spans="1:1" x14ac:dyDescent="0.25">
      <c r="A172" t="s">
        <v>517</v>
      </c>
    </row>
    <row r="173" spans="1:1" x14ac:dyDescent="0.25">
      <c r="A173" t="s">
        <v>518</v>
      </c>
    </row>
    <row r="174" spans="1:1" x14ac:dyDescent="0.25">
      <c r="A174" t="s">
        <v>519</v>
      </c>
    </row>
    <row r="175" spans="1:1" x14ac:dyDescent="0.25">
      <c r="A175" t="s">
        <v>520</v>
      </c>
    </row>
    <row r="176" spans="1:1" x14ac:dyDescent="0.25">
      <c r="A176" t="s">
        <v>521</v>
      </c>
    </row>
    <row r="177" spans="1:1" x14ac:dyDescent="0.25">
      <c r="A177" t="s">
        <v>522</v>
      </c>
    </row>
    <row r="178" spans="1:1" x14ac:dyDescent="0.25">
      <c r="A178" t="s">
        <v>523</v>
      </c>
    </row>
    <row r="179" spans="1:1" x14ac:dyDescent="0.25">
      <c r="A179" t="s">
        <v>524</v>
      </c>
    </row>
    <row r="180" spans="1:1" x14ac:dyDescent="0.25">
      <c r="A180" t="s">
        <v>525</v>
      </c>
    </row>
    <row r="181" spans="1:1" x14ac:dyDescent="0.25">
      <c r="A181" t="s">
        <v>526</v>
      </c>
    </row>
    <row r="182" spans="1:1" x14ac:dyDescent="0.25">
      <c r="A182" t="s">
        <v>527</v>
      </c>
    </row>
    <row r="183" spans="1:1" x14ac:dyDescent="0.25">
      <c r="A183" t="s">
        <v>528</v>
      </c>
    </row>
    <row r="184" spans="1:1" x14ac:dyDescent="0.25">
      <c r="A184" t="s">
        <v>529</v>
      </c>
    </row>
    <row r="185" spans="1:1" x14ac:dyDescent="0.25">
      <c r="A185" t="s">
        <v>530</v>
      </c>
    </row>
    <row r="186" spans="1:1" x14ac:dyDescent="0.25">
      <c r="A186" t="s">
        <v>531</v>
      </c>
    </row>
    <row r="187" spans="1:1" x14ac:dyDescent="0.25">
      <c r="A187" t="s">
        <v>532</v>
      </c>
    </row>
    <row r="188" spans="1:1" x14ac:dyDescent="0.25">
      <c r="A188" t="s">
        <v>533</v>
      </c>
    </row>
    <row r="189" spans="1:1" x14ac:dyDescent="0.25">
      <c r="A189" t="s">
        <v>534</v>
      </c>
    </row>
    <row r="190" spans="1:1" x14ac:dyDescent="0.25">
      <c r="A190" t="s">
        <v>535</v>
      </c>
    </row>
    <row r="191" spans="1:1" x14ac:dyDescent="0.25">
      <c r="A191" t="s">
        <v>536</v>
      </c>
    </row>
    <row r="192" spans="1:1" x14ac:dyDescent="0.25">
      <c r="A192" t="s">
        <v>537</v>
      </c>
    </row>
    <row r="193" spans="1:1" x14ac:dyDescent="0.25">
      <c r="A193" t="s">
        <v>538</v>
      </c>
    </row>
    <row r="194" spans="1:1" x14ac:dyDescent="0.25">
      <c r="A194" t="s">
        <v>539</v>
      </c>
    </row>
    <row r="195" spans="1:1" x14ac:dyDescent="0.25">
      <c r="A195" t="s">
        <v>540</v>
      </c>
    </row>
    <row r="196" spans="1:1" x14ac:dyDescent="0.25">
      <c r="A196" t="s">
        <v>541</v>
      </c>
    </row>
    <row r="197" spans="1:1" x14ac:dyDescent="0.25">
      <c r="A197" t="s">
        <v>542</v>
      </c>
    </row>
    <row r="198" spans="1:1" x14ac:dyDescent="0.25">
      <c r="A198" t="s">
        <v>543</v>
      </c>
    </row>
    <row r="199" spans="1:1" x14ac:dyDescent="0.25">
      <c r="A199" t="s">
        <v>544</v>
      </c>
    </row>
    <row r="200" spans="1:1" x14ac:dyDescent="0.25">
      <c r="A200" t="s">
        <v>545</v>
      </c>
    </row>
    <row r="201" spans="1:1" x14ac:dyDescent="0.25">
      <c r="A201" t="s">
        <v>546</v>
      </c>
    </row>
    <row r="202" spans="1:1" x14ac:dyDescent="0.25">
      <c r="A202" t="s">
        <v>547</v>
      </c>
    </row>
    <row r="203" spans="1:1" x14ac:dyDescent="0.25">
      <c r="A203" t="s">
        <v>548</v>
      </c>
    </row>
    <row r="204" spans="1:1" x14ac:dyDescent="0.25">
      <c r="A204" t="s">
        <v>549</v>
      </c>
    </row>
    <row r="205" spans="1:1" x14ac:dyDescent="0.25">
      <c r="A205" t="s">
        <v>550</v>
      </c>
    </row>
    <row r="206" spans="1:1" x14ac:dyDescent="0.25">
      <c r="A206" t="s">
        <v>551</v>
      </c>
    </row>
    <row r="207" spans="1:1" x14ac:dyDescent="0.25">
      <c r="A207" t="s">
        <v>552</v>
      </c>
    </row>
    <row r="208" spans="1:1" x14ac:dyDescent="0.25">
      <c r="A208" t="s">
        <v>553</v>
      </c>
    </row>
    <row r="209" spans="1:1" x14ac:dyDescent="0.25">
      <c r="A209" t="s">
        <v>554</v>
      </c>
    </row>
    <row r="210" spans="1:1" x14ac:dyDescent="0.25">
      <c r="A210" t="s">
        <v>555</v>
      </c>
    </row>
    <row r="211" spans="1:1" x14ac:dyDescent="0.25">
      <c r="A211" t="s">
        <v>556</v>
      </c>
    </row>
    <row r="212" spans="1:1" x14ac:dyDescent="0.25">
      <c r="A212" t="s">
        <v>557</v>
      </c>
    </row>
    <row r="213" spans="1:1" x14ac:dyDescent="0.25">
      <c r="A213" t="s">
        <v>558</v>
      </c>
    </row>
    <row r="214" spans="1:1" x14ac:dyDescent="0.25">
      <c r="A214" t="s">
        <v>559</v>
      </c>
    </row>
    <row r="215" spans="1:1" x14ac:dyDescent="0.25">
      <c r="A215" t="s">
        <v>560</v>
      </c>
    </row>
    <row r="216" spans="1:1" x14ac:dyDescent="0.25">
      <c r="A216" t="s">
        <v>561</v>
      </c>
    </row>
    <row r="217" spans="1:1" x14ac:dyDescent="0.25">
      <c r="A217" t="s">
        <v>562</v>
      </c>
    </row>
    <row r="218" spans="1:1" x14ac:dyDescent="0.25">
      <c r="A218" t="s">
        <v>563</v>
      </c>
    </row>
    <row r="219" spans="1:1" x14ac:dyDescent="0.25">
      <c r="A219" t="s">
        <v>564</v>
      </c>
    </row>
    <row r="220" spans="1:1" x14ac:dyDescent="0.25">
      <c r="A220" t="s">
        <v>565</v>
      </c>
    </row>
    <row r="221" spans="1:1" x14ac:dyDescent="0.25">
      <c r="A221" t="s">
        <v>566</v>
      </c>
    </row>
    <row r="222" spans="1:1" x14ac:dyDescent="0.25">
      <c r="A222" t="s">
        <v>567</v>
      </c>
    </row>
    <row r="223" spans="1:1" x14ac:dyDescent="0.25">
      <c r="A223" t="s">
        <v>568</v>
      </c>
    </row>
    <row r="224" spans="1:1" x14ac:dyDescent="0.25">
      <c r="A224" t="s">
        <v>569</v>
      </c>
    </row>
    <row r="225" spans="1:1" x14ac:dyDescent="0.25">
      <c r="A225" t="s">
        <v>570</v>
      </c>
    </row>
    <row r="226" spans="1:1" x14ac:dyDescent="0.25">
      <c r="A226" t="s">
        <v>571</v>
      </c>
    </row>
    <row r="227" spans="1:1" x14ac:dyDescent="0.25">
      <c r="A227" t="s">
        <v>572</v>
      </c>
    </row>
    <row r="228" spans="1:1" x14ac:dyDescent="0.25">
      <c r="A228" t="s">
        <v>573</v>
      </c>
    </row>
    <row r="229" spans="1:1" x14ac:dyDescent="0.25">
      <c r="A229" t="s">
        <v>574</v>
      </c>
    </row>
    <row r="230" spans="1:1" x14ac:dyDescent="0.25">
      <c r="A230" t="s">
        <v>575</v>
      </c>
    </row>
    <row r="231" spans="1:1" x14ac:dyDescent="0.25">
      <c r="A231" t="s">
        <v>576</v>
      </c>
    </row>
    <row r="232" spans="1:1" x14ac:dyDescent="0.25">
      <c r="A232" t="s">
        <v>577</v>
      </c>
    </row>
    <row r="233" spans="1:1" x14ac:dyDescent="0.25">
      <c r="A233" t="s">
        <v>578</v>
      </c>
    </row>
    <row r="234" spans="1:1" x14ac:dyDescent="0.25">
      <c r="A234" t="s">
        <v>579</v>
      </c>
    </row>
    <row r="235" spans="1:1" x14ac:dyDescent="0.25">
      <c r="A235" t="s">
        <v>580</v>
      </c>
    </row>
    <row r="236" spans="1:1" x14ac:dyDescent="0.25">
      <c r="A236" t="s">
        <v>581</v>
      </c>
    </row>
    <row r="237" spans="1:1" x14ac:dyDescent="0.25">
      <c r="A237" t="s">
        <v>582</v>
      </c>
    </row>
    <row r="238" spans="1:1" x14ac:dyDescent="0.25">
      <c r="A238" t="s">
        <v>583</v>
      </c>
    </row>
    <row r="239" spans="1:1" x14ac:dyDescent="0.25">
      <c r="A239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Fountain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UNAS</dc:creator>
  <cp:lastModifiedBy>Alex Rengifo R. - Docente Econ</cp:lastModifiedBy>
  <dcterms:created xsi:type="dcterms:W3CDTF">2022-07-01T14:56:43Z</dcterms:created>
  <dcterms:modified xsi:type="dcterms:W3CDTF">2025-11-29T20:07:43Z</dcterms:modified>
</cp:coreProperties>
</file>